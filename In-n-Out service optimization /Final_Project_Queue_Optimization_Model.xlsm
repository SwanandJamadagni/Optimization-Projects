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09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wanandjamadagni/Documents/MSBA/BAN-630/Project/"/>
    </mc:Choice>
  </mc:AlternateContent>
  <xr:revisionPtr revIDLastSave="0" documentId="13_ncr:1_{2876F640-107F-BB4B-929D-6C2B82D786CD}" xr6:coauthVersionLast="47" xr6:coauthVersionMax="47" xr10:uidLastSave="{00000000-0000-0000-0000-000000000000}"/>
  <bookViews>
    <workbookView xWindow="0" yWindow="0" windowWidth="28800" windowHeight="18000" activeTab="5" xr2:uid="{00000000-000D-0000-FFFF-FFFF00000000}"/>
  </bookViews>
  <sheets>
    <sheet name="MMs" sheetId="1" r:id="rId1"/>
    <sheet name="ATM_MMs2" sheetId="3" r:id="rId2"/>
    <sheet name="Summary" sheetId="5" r:id="rId3"/>
    <sheet name="What-If Analysis" sheetId="7" r:id="rId4"/>
    <sheet name="What-If Analysis (2)" sheetId="8" r:id="rId5"/>
    <sheet name="What-If Analysis (3)" sheetId="9" r:id="rId6"/>
    <sheet name="Module1" sheetId="2" state="veryHidden" r:id=""/>
  </sheets>
  <definedNames>
    <definedName name="ArriveRate" localSheetId="1">ATM_MMs2!$B$4</definedName>
    <definedName name="ArriveRate" localSheetId="3">'What-If Analysis'!$B$4</definedName>
    <definedName name="ArriveRate" localSheetId="4">'What-If Analysis (2)'!$B$4</definedName>
    <definedName name="ArriveRate" localSheetId="5">'What-If Analysis (3)'!$B$4</definedName>
    <definedName name="ArriveRate">MMs!$B$4</definedName>
    <definedName name="L" localSheetId="1">ATM_MMs2!$B$21</definedName>
    <definedName name="L" localSheetId="3">'What-If Analysis'!$B$21</definedName>
    <definedName name="L" localSheetId="4">'What-If Analysis (2)'!$B$21</definedName>
    <definedName name="L" localSheetId="5">'What-If Analysis (3)'!$B$21</definedName>
    <definedName name="L">MMs!$B$21</definedName>
    <definedName name="Lq" localSheetId="1">ATM_MMs2!$B$20</definedName>
    <definedName name="Lq" localSheetId="3">'What-If Analysis'!$B$20</definedName>
    <definedName name="Lq" localSheetId="4">'What-If Analysis (2)'!$B$20</definedName>
    <definedName name="Lq" localSheetId="5">'What-If Analysis (3)'!$B$20</definedName>
    <definedName name="Lq">MMs!$B$20</definedName>
    <definedName name="NServers" localSheetId="1">ATM_MMs2!$B$6</definedName>
    <definedName name="NServers" localSheetId="3">'What-If Analysis'!$B$6</definedName>
    <definedName name="NServers" localSheetId="4">'What-If Analysis (2)'!$B$6</definedName>
    <definedName name="NServers" localSheetId="5">'What-If Analysis (3)'!$B$6</definedName>
    <definedName name="NServers">MMs!$B$6</definedName>
    <definedName name="PNoWait" localSheetId="1">ATM_MMs2!#REF!</definedName>
    <definedName name="PNoWait" localSheetId="3">'What-If Analysis'!#REF!</definedName>
    <definedName name="PNoWait" localSheetId="4">'What-If Analysis (2)'!#REF!</definedName>
    <definedName name="PNoWait" localSheetId="5">'What-If Analysis (3)'!#REF!</definedName>
    <definedName name="PNoWait">MMs!#REF!</definedName>
    <definedName name="Prob0" localSheetId="1">ATM_MMs2!$B$16</definedName>
    <definedName name="Prob0" localSheetId="3">'What-If Analysis'!$B$16</definedName>
    <definedName name="Prob0" localSheetId="4">'What-If Analysis (2)'!$B$16</definedName>
    <definedName name="Prob0" localSheetId="5">'What-If Analysis (3)'!$B$16</definedName>
    <definedName name="Prob0">MMs!$B$16</definedName>
    <definedName name="PWait" localSheetId="1">ATM_MMs2!$B$17</definedName>
    <definedName name="PWait" localSheetId="3">'What-If Analysis'!$B$17</definedName>
    <definedName name="PWait" localSheetId="4">'What-If Analysis (2)'!$B$17</definedName>
    <definedName name="PWait" localSheetId="5">'What-If Analysis (3)'!$B$17</definedName>
    <definedName name="PWait">MMs!$B$17</definedName>
    <definedName name="ServeRate" localSheetId="1">ATM_MMs2!$B$5</definedName>
    <definedName name="ServeRate" localSheetId="3">'What-If Analysis'!$B$5</definedName>
    <definedName name="ServeRate" localSheetId="4">'What-If Analysis (2)'!$B$5</definedName>
    <definedName name="ServeRate" localSheetId="5">'What-If Analysis (3)'!$B$5</definedName>
    <definedName name="ServeRate">MMs!$B$5</definedName>
    <definedName name="ServiceCost" localSheetId="1">#REF!</definedName>
    <definedName name="ServiceCost" localSheetId="3">#REF!</definedName>
    <definedName name="ServiceCost" localSheetId="4">#REF!</definedName>
    <definedName name="ServiceCost" localSheetId="5">#REF!</definedName>
    <definedName name="ServiceCost">#REF!</definedName>
    <definedName name="ServiceCost1" localSheetId="1">ATM_MMs2!$B$7</definedName>
    <definedName name="ServiceCost1" localSheetId="3">'What-If Analysis'!$B$7</definedName>
    <definedName name="ServiceCost1" localSheetId="4">'What-If Analysis (2)'!$B$7</definedName>
    <definedName name="ServiceCost1" localSheetId="5">'What-If Analysis (3)'!$B$7</definedName>
    <definedName name="ServiceCost1">MMs!$B$7</definedName>
    <definedName name="Unit" localSheetId="1">ATM_MMs2!$B$3</definedName>
    <definedName name="Unit" localSheetId="3">'What-If Analysis'!$B$3</definedName>
    <definedName name="Unit" localSheetId="4">'What-If Analysis (2)'!$B$3</definedName>
    <definedName name="Unit" localSheetId="5">'What-If Analysis (3)'!$B$3</definedName>
    <definedName name="Unit">MMs!$B$3</definedName>
    <definedName name="Util" localSheetId="1">ATM_MMs2!$B$14</definedName>
    <definedName name="Util" localSheetId="3">'What-If Analysis'!$B$14</definedName>
    <definedName name="Util" localSheetId="4">'What-If Analysis (2)'!$B$14</definedName>
    <definedName name="Util" localSheetId="5">'What-If Analysis (3)'!$B$14</definedName>
    <definedName name="Util">MMs!$B$14</definedName>
    <definedName name="W" localSheetId="1">ATM_MMs2!$B$19</definedName>
    <definedName name="W" localSheetId="3">'What-If Analysis'!$B$19</definedName>
    <definedName name="W" localSheetId="4">'What-If Analysis (2)'!$B$19</definedName>
    <definedName name="W" localSheetId="5">'What-If Analysis (3)'!$B$19</definedName>
    <definedName name="W">MMs!$B$19</definedName>
    <definedName name="WaitCost" localSheetId="1">#REF!</definedName>
    <definedName name="WaitCost" localSheetId="3">#REF!</definedName>
    <definedName name="WaitCost" localSheetId="4">#REF!</definedName>
    <definedName name="WaitCost" localSheetId="5">#REF!</definedName>
    <definedName name="WaitCost">#REF!</definedName>
    <definedName name="WaitCost1" localSheetId="1">ATM_MMs2!$B$8</definedName>
    <definedName name="WaitCost1" localSheetId="3">'What-If Analysis'!$B$8</definedName>
    <definedName name="WaitCost1" localSheetId="4">'What-If Analysis (2)'!$B$8</definedName>
    <definedName name="WaitCost1" localSheetId="5">'What-If Analysis (3)'!$B$8</definedName>
    <definedName name="WaitCost1">MMs!$B$8</definedName>
    <definedName name="Wq" localSheetId="1">ATM_MMs2!$B$18</definedName>
    <definedName name="Wq" localSheetId="3">'What-If Analysis'!$B$18</definedName>
    <definedName name="Wq" localSheetId="4">'What-If Analysis (2)'!$B$18</definedName>
    <definedName name="Wq" localSheetId="5">'What-If Analysis (3)'!$B$18</definedName>
    <definedName name="Wq">MMs!$B$18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9" l="1"/>
  <c r="C18" i="9"/>
  <c r="B14" i="9"/>
  <c r="B17" i="9" s="1"/>
  <c r="B20" i="9" s="1"/>
  <c r="C13" i="9"/>
  <c r="B13" i="9"/>
  <c r="C12" i="9"/>
  <c r="B12" i="9"/>
  <c r="H11" i="9"/>
  <c r="F11" i="9"/>
  <c r="C8" i="9"/>
  <c r="B8" i="9"/>
  <c r="C7" i="9"/>
  <c r="B7" i="9"/>
  <c r="B23" i="9" s="1"/>
  <c r="C5" i="9"/>
  <c r="C4" i="9"/>
  <c r="C19" i="8"/>
  <c r="C18" i="8"/>
  <c r="B14" i="8"/>
  <c r="B17" i="8" s="1"/>
  <c r="B20" i="8" s="1"/>
  <c r="C13" i="8"/>
  <c r="B13" i="8"/>
  <c r="C12" i="8"/>
  <c r="B12" i="8"/>
  <c r="H11" i="8"/>
  <c r="F11" i="8"/>
  <c r="C8" i="8"/>
  <c r="B8" i="8"/>
  <c r="C7" i="8"/>
  <c r="B7" i="8"/>
  <c r="B23" i="8" s="1"/>
  <c r="C5" i="8"/>
  <c r="C4" i="8"/>
  <c r="B8" i="7"/>
  <c r="B7" i="7"/>
  <c r="B23" i="7" s="1"/>
  <c r="C19" i="7"/>
  <c r="C18" i="7"/>
  <c r="B14" i="7"/>
  <c r="B17" i="7" s="1"/>
  <c r="B20" i="7" s="1"/>
  <c r="C13" i="7"/>
  <c r="B13" i="7"/>
  <c r="C12" i="7"/>
  <c r="B12" i="7"/>
  <c r="H11" i="7"/>
  <c r="F11" i="7"/>
  <c r="C8" i="7"/>
  <c r="C7" i="7"/>
  <c r="C5" i="7"/>
  <c r="C4" i="7"/>
  <c r="B23" i="3"/>
  <c r="M11" i="3" s="1"/>
  <c r="C19" i="3"/>
  <c r="C18" i="3"/>
  <c r="B14" i="3"/>
  <c r="B17" i="3" s="1"/>
  <c r="B20" i="3" s="1"/>
  <c r="C13" i="3"/>
  <c r="B13" i="3"/>
  <c r="C12" i="3"/>
  <c r="B12" i="3"/>
  <c r="H11" i="3"/>
  <c r="F11" i="3"/>
  <c r="C8" i="3"/>
  <c r="C7" i="3"/>
  <c r="C5" i="3"/>
  <c r="C4" i="3"/>
  <c r="F11" i="1"/>
  <c r="B14" i="1"/>
  <c r="B17" i="1" s="1"/>
  <c r="B20" i="1" s="1"/>
  <c r="B23" i="1"/>
  <c r="M11" i="1" s="1"/>
  <c r="H11" i="1"/>
  <c r="C8" i="1"/>
  <c r="C7" i="1"/>
  <c r="B13" i="1"/>
  <c r="B12" i="1"/>
  <c r="C5" i="1"/>
  <c r="C4" i="1"/>
  <c r="C13" i="1"/>
  <c r="C12" i="1"/>
  <c r="C18" i="1"/>
  <c r="C19" i="1"/>
  <c r="M11" i="9" l="1"/>
  <c r="B24" i="9"/>
  <c r="N11" i="9" s="1"/>
  <c r="K11" i="9"/>
  <c r="B21" i="9"/>
  <c r="B18" i="9"/>
  <c r="I11" i="9" s="1"/>
  <c r="G11" i="9"/>
  <c r="B24" i="8"/>
  <c r="N11" i="8" s="1"/>
  <c r="G11" i="8"/>
  <c r="B18" i="8"/>
  <c r="I11" i="8" s="1"/>
  <c r="B21" i="8"/>
  <c r="K11" i="8"/>
  <c r="M11" i="8"/>
  <c r="G11" i="7"/>
  <c r="B18" i="7"/>
  <c r="I11" i="7" s="1"/>
  <c r="B24" i="7"/>
  <c r="N11" i="7" s="1"/>
  <c r="K11" i="7"/>
  <c r="B21" i="7"/>
  <c r="M11" i="7"/>
  <c r="G11" i="3"/>
  <c r="G11" i="1"/>
  <c r="B24" i="1"/>
  <c r="N11" i="1" s="1"/>
  <c r="B18" i="1"/>
  <c r="I11" i="1" s="1"/>
  <c r="B21" i="1"/>
  <c r="K11" i="1"/>
  <c r="K11" i="3"/>
  <c r="B24" i="3"/>
  <c r="B21" i="3"/>
  <c r="B18" i="3"/>
  <c r="I11" i="3" s="1"/>
  <c r="L11" i="9" l="1"/>
  <c r="B19" i="9"/>
  <c r="J11" i="9" s="1"/>
  <c r="B25" i="8"/>
  <c r="O11" i="8" s="1"/>
  <c r="B25" i="9"/>
  <c r="O11" i="9" s="1"/>
  <c r="B25" i="7"/>
  <c r="O11" i="7" s="1"/>
  <c r="L11" i="8"/>
  <c r="B19" i="8"/>
  <c r="J11" i="8" s="1"/>
  <c r="L11" i="7"/>
  <c r="B19" i="7"/>
  <c r="J11" i="7" s="1"/>
  <c r="B25" i="1"/>
  <c r="O11" i="1" s="1"/>
  <c r="L11" i="1"/>
  <c r="B19" i="1"/>
  <c r="J11" i="1" s="1"/>
  <c r="B19" i="3"/>
  <c r="J11" i="3" s="1"/>
  <c r="L11" i="3"/>
  <c r="B25" i="3"/>
  <c r="O11" i="3" s="1"/>
  <c r="N11" i="3"/>
</calcChain>
</file>

<file path=xl/sharedStrings.xml><?xml version="1.0" encoding="utf-8"?>
<sst xmlns="http://schemas.openxmlformats.org/spreadsheetml/2006/main" count="301" uniqueCount="51">
  <si>
    <t>Directions:</t>
  </si>
  <si>
    <t>Unit of time</t>
  </si>
  <si>
    <t>hour</t>
  </si>
  <si>
    <t>Arrival rate</t>
  </si>
  <si>
    <t>Service rate per server</t>
  </si>
  <si>
    <t>Number of servers</t>
  </si>
  <si>
    <t>Percentage who wait in queue</t>
  </si>
  <si>
    <t>customers</t>
  </si>
  <si>
    <t>Service cost</t>
  </si>
  <si>
    <t>Waiting cost</t>
  </si>
  <si>
    <t>INPUTS</t>
  </si>
  <si>
    <t>OUTPUTS</t>
  </si>
  <si>
    <t>Cost</t>
  </si>
  <si>
    <t>Waiting Line</t>
  </si>
  <si>
    <t>Rho</t>
  </si>
  <si>
    <t>Wq</t>
  </si>
  <si>
    <t>Ws</t>
  </si>
  <si>
    <t>Lq</t>
  </si>
  <si>
    <t>Ls</t>
  </si>
  <si>
    <t xml:space="preserve">Direct outputs </t>
  </si>
  <si>
    <t>Queuing measures</t>
  </si>
  <si>
    <t>$</t>
  </si>
  <si>
    <t>Average time between arrivals</t>
  </si>
  <si>
    <t>Average time per service</t>
  </si>
  <si>
    <t>Po</t>
  </si>
  <si>
    <t xml:space="preserve">Probability of empty system, Po </t>
  </si>
  <si>
    <t>Average time in queue, Wq</t>
  </si>
  <si>
    <t>Average time in system, Ws</t>
  </si>
  <si>
    <t>Average number in queue, Lq</t>
  </si>
  <si>
    <t>Average number in system, Ls</t>
  </si>
  <si>
    <t>M/M/</t>
  </si>
  <si>
    <t>Service cost, $</t>
  </si>
  <si>
    <t>Waiting cost, $</t>
  </si>
  <si>
    <t>Total cost, $</t>
  </si>
  <si>
    <t>Total cost, TC</t>
  </si>
  <si>
    <t>Service cost, SC</t>
  </si>
  <si>
    <t>Waiting cost, WC</t>
  </si>
  <si>
    <t xml:space="preserve">Summary Table </t>
  </si>
  <si>
    <t>Server utilization, Rho</t>
  </si>
  <si>
    <r>
      <t>1.  Enter inputs in cells</t>
    </r>
    <r>
      <rPr>
        <b/>
        <u/>
        <sz val="10"/>
        <color theme="1"/>
        <rFont val="Arial"/>
        <family val="2"/>
      </rPr>
      <t xml:space="preserve"> B4 through B8</t>
    </r>
    <r>
      <rPr>
        <b/>
        <sz val="10"/>
        <color theme="1"/>
        <rFont val="Arial"/>
        <family val="2"/>
      </rPr>
      <t>.</t>
    </r>
  </si>
  <si>
    <r>
      <t xml:space="preserve">2.  Click the </t>
    </r>
    <r>
      <rPr>
        <b/>
        <u/>
        <sz val="10"/>
        <color theme="1"/>
        <rFont val="Arial"/>
        <family val="2"/>
      </rPr>
      <t>Perform Calculations</t>
    </r>
    <r>
      <rPr>
        <b/>
        <sz val="10"/>
        <color theme="1"/>
        <rFont val="Arial"/>
        <family val="2"/>
      </rPr>
      <t xml:space="preserve"> button to see results. </t>
    </r>
  </si>
  <si>
    <r>
      <t xml:space="preserve">1.  Enter inputs in cells </t>
    </r>
    <r>
      <rPr>
        <b/>
        <u/>
        <sz val="10"/>
        <color theme="1"/>
        <rFont val="Arial"/>
        <family val="2"/>
      </rPr>
      <t>B4 through B8</t>
    </r>
    <r>
      <rPr>
        <b/>
        <sz val="10"/>
        <color theme="1"/>
        <rFont val="Arial"/>
        <family val="2"/>
      </rPr>
      <t>.</t>
    </r>
  </si>
  <si>
    <t>Server</t>
  </si>
  <si>
    <t>Queue config</t>
  </si>
  <si>
    <t>M/M/1</t>
  </si>
  <si>
    <t>M/M/S</t>
  </si>
  <si>
    <t>Summary Table</t>
  </si>
  <si>
    <t>In-n-Out Burgers: M/M/1 and M/M/s Queuing Template</t>
  </si>
  <si>
    <t>Inflation Rate</t>
  </si>
  <si>
    <t>Sc</t>
  </si>
  <si>
    <t>Wc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</si>
</sst>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%"/>
    <numFmt numFmtId="167" formatCode="0.0"/>
  </numFmts>
  <fonts count="1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C00000"/>
      <name val="Arial"/>
      <family val="2"/>
    </font>
    <font>
      <b/>
      <i/>
      <sz val="10"/>
      <color rgb="FF0000FF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sz val="1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73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0" fontId="3" fillId="0" borderId="0" xfId="0" applyFon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166" fontId="2" fillId="0" borderId="1" xfId="2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8" fillId="0" borderId="0" xfId="0" applyFont="1"/>
    <xf numFmtId="0" fontId="1" fillId="0" borderId="0" xfId="0" applyFont="1" applyAlignment="1">
      <alignment horizontal="center" wrapText="1"/>
    </xf>
    <xf numFmtId="165" fontId="3" fillId="0" borderId="0" xfId="0" applyNumberFormat="1" applyFont="1" applyAlignment="1">
      <alignment horizontal="center" wrapText="1"/>
    </xf>
    <xf numFmtId="0" fontId="2" fillId="0" borderId="0" xfId="0" applyFont="1"/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6" fillId="0" borderId="2" xfId="0" applyFont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/>
    <xf numFmtId="0" fontId="0" fillId="0" borderId="9" xfId="0" applyBorder="1" applyAlignment="1">
      <alignment horizontal="center"/>
    </xf>
    <xf numFmtId="0" fontId="6" fillId="0" borderId="5" xfId="0" applyFont="1" applyBorder="1"/>
    <xf numFmtId="0" fontId="2" fillId="0" borderId="5" xfId="0" applyFont="1" applyBorder="1"/>
    <xf numFmtId="0" fontId="2" fillId="0" borderId="7" xfId="0" applyFont="1" applyBorder="1"/>
    <xf numFmtId="2" fontId="2" fillId="0" borderId="8" xfId="0" applyNumberFormat="1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2" xfId="0" applyFont="1" applyBorder="1"/>
    <xf numFmtId="0" fontId="3" fillId="0" borderId="3" xfId="0" applyFont="1" applyBorder="1"/>
    <xf numFmtId="165" fontId="3" fillId="0" borderId="3" xfId="0" applyNumberFormat="1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5" fillId="2" borderId="7" xfId="0" applyFont="1" applyFill="1" applyBorder="1" applyAlignment="1">
      <alignment horizontal="right"/>
    </xf>
    <xf numFmtId="0" fontId="5" fillId="2" borderId="8" xfId="0" applyFont="1" applyFill="1" applyBorder="1" applyAlignment="1">
      <alignment horizontal="left"/>
    </xf>
    <xf numFmtId="165" fontId="5" fillId="2" borderId="8" xfId="0" applyNumberFormat="1" applyFont="1" applyFill="1" applyBorder="1" applyAlignment="1">
      <alignment horizontal="center"/>
    </xf>
    <xf numFmtId="0" fontId="5" fillId="2" borderId="8" xfId="0" applyFont="1" applyFill="1" applyBorder="1"/>
    <xf numFmtId="2" fontId="5" fillId="2" borderId="8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7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2" fontId="1" fillId="3" borderId="8" xfId="0" applyNumberFormat="1" applyFont="1" applyFill="1" applyBorder="1" applyAlignment="1">
      <alignment horizontal="center"/>
    </xf>
    <xf numFmtId="0" fontId="9" fillId="0" borderId="0" xfId="0" applyFont="1"/>
    <xf numFmtId="0" fontId="11" fillId="0" borderId="0" xfId="0" applyFont="1"/>
    <xf numFmtId="0" fontId="12" fillId="0" borderId="1" xfId="0" applyFont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0" fillId="0" borderId="0" xfId="0"/>
    <xf numFmtId="0" fontId="13" fillId="4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2" fontId="0" fillId="5" borderId="1" xfId="0" applyNumberFormat="1" applyFill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12" xfId="0" applyFont="1" applyBorder="1"/>
    <xf numFmtId="165" fontId="1" fillId="0" borderId="12" xfId="0" applyNumberFormat="1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13" xfId="0" applyFont="1" applyBorder="1" applyAlignment="1">
      <alignment horizontal="center" wrapText="1"/>
    </xf>
    <xf numFmtId="0" fontId="2" fillId="0" borderId="14" xfId="0" applyFont="1" applyBorder="1"/>
    <xf numFmtId="0" fontId="2" fillId="6" borderId="1" xfId="0" applyFont="1" applyFill="1" applyBorder="1"/>
    <xf numFmtId="10" fontId="0" fillId="0" borderId="1" xfId="0" applyNumberFormat="1" applyBorder="1"/>
    <xf numFmtId="0" fontId="0" fillId="0" borderId="1" xfId="0" applyBorder="1"/>
  </cellXfs>
  <cellStyles count="3"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Summary!$I$2</c:f>
              <c:strCache>
                <c:ptCount val="1"/>
                <c:pt idx="0">
                  <c:v>Service cost, $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Summary!$I$3:$I$12</c:f>
              <c:numCache>
                <c:formatCode>General</c:formatCode>
                <c:ptCount val="1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1-0648-8D1F-D5E53456FBC2}"/>
            </c:ext>
          </c:extLst>
        </c:ser>
        <c:ser>
          <c:idx val="1"/>
          <c:order val="1"/>
          <c:tx>
            <c:strRef>
              <c:f>Summary!$J$2</c:f>
              <c:strCache>
                <c:ptCount val="1"/>
                <c:pt idx="0">
                  <c:v>Waiting cost, $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Summary!$J$3:$J$12</c:f>
              <c:numCache>
                <c:formatCode>General</c:formatCode>
                <c:ptCount val="10"/>
                <c:pt idx="0">
                  <c:v>175.97444367061297</c:v>
                </c:pt>
                <c:pt idx="1">
                  <c:v>4.1734976997271325</c:v>
                </c:pt>
                <c:pt idx="2">
                  <c:v>0.55267616836318312</c:v>
                </c:pt>
                <c:pt idx="3">
                  <c:v>7.7776411102928891E-2</c:v>
                </c:pt>
                <c:pt idx="4">
                  <c:v>1.0188893335271313E-2</c:v>
                </c:pt>
                <c:pt idx="5">
                  <c:v>1.207629473432021E-3</c:v>
                </c:pt>
                <c:pt idx="6">
                  <c:v>1.2907090291741166E-4</c:v>
                </c:pt>
                <c:pt idx="7">
                  <c:v>1.2490527775393673E-5</c:v>
                </c:pt>
                <c:pt idx="8">
                  <c:v>1.1011248384236942E-6</c:v>
                </c:pt>
                <c:pt idx="9">
                  <c:v>8.8990164466003558E-8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01-0648-8D1F-D5E53456FBC2}"/>
            </c:ext>
          </c:extLst>
        </c:ser>
        <c:ser>
          <c:idx val="2"/>
          <c:order val="2"/>
          <c:tx>
            <c:strRef>
              <c:f>Summary!$K$2</c:f>
              <c:strCache>
                <c:ptCount val="1"/>
                <c:pt idx="0">
                  <c:v>Total cost, $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Summary!$K$3:$K$12</c:f>
              <c:numCache>
                <c:formatCode>General</c:formatCode>
                <c:ptCount val="10"/>
                <c:pt idx="0">
                  <c:v>190.97444367061297</c:v>
                </c:pt>
                <c:pt idx="1">
                  <c:v>34.173497699727136</c:v>
                </c:pt>
                <c:pt idx="2">
                  <c:v>45.552676168363185</c:v>
                </c:pt>
                <c:pt idx="3">
                  <c:v>60.077776411102931</c:v>
                </c:pt>
                <c:pt idx="4">
                  <c:v>75.010188893335268</c:v>
                </c:pt>
                <c:pt idx="5">
                  <c:v>90.001207629473427</c:v>
                </c:pt>
                <c:pt idx="6">
                  <c:v>105.00012907090291</c:v>
                </c:pt>
                <c:pt idx="7">
                  <c:v>120.00001249052778</c:v>
                </c:pt>
                <c:pt idx="8">
                  <c:v>135.00000110112484</c:v>
                </c:pt>
                <c:pt idx="9">
                  <c:v>150.00000008899016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01-0648-8D1F-D5E53456F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7827871"/>
        <c:axId val="2040229776"/>
      </c:lineChart>
      <c:catAx>
        <c:axId val="827827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229776"/>
        <c:crosses val="autoZero"/>
        <c:auto val="1"/>
        <c:lblAlgn val="ctr"/>
        <c:lblOffset val="100"/>
        <c:noMultiLvlLbl val="0"/>
      </c:catAx>
      <c:valAx>
        <c:axId val="204022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827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1701800</xdr:colOff>
          <xdr:row>8</xdr:row>
          <xdr:rowOff>50800</xdr:rowOff>
        </xdr:from>
        <xdr:to>
          <xdr:col>2</xdr:col>
          <xdr:colOff>152400</xdr:colOff>
          <xdr:row>10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Perform  Calculations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1701800</xdr:colOff>
          <xdr:row>8</xdr:row>
          <xdr:rowOff>50800</xdr:rowOff>
        </xdr:from>
        <xdr:to>
          <xdr:col>2</xdr:col>
          <xdr:colOff>152400</xdr:colOff>
          <xdr:row>10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Perform  Calculations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260350</xdr:colOff>
      <xdr:row>13</xdr:row>
      <xdr:rowOff>19050</xdr:rowOff>
    </xdr:from>
    <xdr:to>
      <xdr:col>10</xdr:col>
      <xdr:colOff>1244600</xdr:colOff>
      <xdr:row>38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D4EFB7-CFD3-988C-E46B-7BC71FCDA0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1701800</xdr:colOff>
          <xdr:row>8</xdr:row>
          <xdr:rowOff>50800</xdr:rowOff>
        </xdr:from>
        <xdr:to>
          <xdr:col>2</xdr:col>
          <xdr:colOff>152400</xdr:colOff>
          <xdr:row>10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6CB12527-683E-CF4C-91C5-27D447998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Perform  Calculations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1701800</xdr:colOff>
          <xdr:row>8</xdr:row>
          <xdr:rowOff>50800</xdr:rowOff>
        </xdr:from>
        <xdr:to>
          <xdr:col>2</xdr:col>
          <xdr:colOff>152400</xdr:colOff>
          <xdr:row>10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790CD9A3-80C0-3245-88C0-780B681B9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Perform  Calculations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1701800</xdr:colOff>
          <xdr:row>8</xdr:row>
          <xdr:rowOff>50800</xdr:rowOff>
        </xdr:from>
        <xdr:to>
          <xdr:col>2</xdr:col>
          <xdr:colOff>152400</xdr:colOff>
          <xdr:row>10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E0D8FB11-EDE0-824E-8CBC-3FD4EFB56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Perform  Calculations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P50"/>
  <sheetViews>
    <sheetView zoomScale="150" zoomScaleNormal="150" workbookViewId="0"/>
  </sheetViews>
  <sheetFormatPr baseColWidth="10" defaultColWidth="8.83203125" defaultRowHeight="13" x14ac:dyDescent="0.15"/>
  <cols>
    <col min="1" max="1" width="27" customWidth="1"/>
    <col min="2" max="2" width="9.6640625" style="5" customWidth="1"/>
    <col min="3" max="3" width="13.33203125" style="5" customWidth="1"/>
    <col min="4" max="4" width="3" style="5" customWidth="1"/>
    <col min="5" max="5" width="5.83203125" customWidth="1"/>
    <col min="6" max="6" width="8.5" customWidth="1"/>
    <col min="7" max="7" width="14.33203125" customWidth="1"/>
    <col min="8" max="8" width="6" customWidth="1"/>
    <col min="9" max="9" width="6.5" customWidth="1"/>
    <col min="10" max="10" width="6.6640625" bestFit="1" customWidth="1"/>
    <col min="11" max="12" width="7.6640625" bestFit="1" customWidth="1"/>
    <col min="13" max="13" width="9.5" customWidth="1"/>
    <col min="14" max="14" width="10.33203125" customWidth="1"/>
    <col min="15" max="15" width="8" customWidth="1"/>
  </cols>
  <sheetData>
    <row r="1" spans="1:16" ht="14" thickBot="1" x14ac:dyDescent="0.2">
      <c r="A1" s="24" t="s">
        <v>47</v>
      </c>
    </row>
    <row r="2" spans="1:16" x14ac:dyDescent="0.15">
      <c r="A2" s="25" t="s">
        <v>10</v>
      </c>
      <c r="B2" s="26"/>
      <c r="C2" s="27"/>
    </row>
    <row r="3" spans="1:16" x14ac:dyDescent="0.15">
      <c r="A3" s="28" t="s">
        <v>1</v>
      </c>
      <c r="B3" s="50" t="s">
        <v>2</v>
      </c>
      <c r="C3" s="29"/>
    </row>
    <row r="4" spans="1:16" x14ac:dyDescent="0.15">
      <c r="A4" s="28" t="s">
        <v>3</v>
      </c>
      <c r="B4" s="51">
        <v>73.48</v>
      </c>
      <c r="C4" s="29" t="str">
        <f>"customers/"&amp;Unit</f>
        <v>customers/hour</v>
      </c>
      <c r="E4" s="2"/>
      <c r="F4" s="54" t="s">
        <v>0</v>
      </c>
    </row>
    <row r="5" spans="1:16" x14ac:dyDescent="0.15">
      <c r="A5" s="28" t="s">
        <v>4</v>
      </c>
      <c r="B5" s="51">
        <v>80</v>
      </c>
      <c r="C5" s="29" t="str">
        <f>"customers/"&amp;Unit</f>
        <v>customers/hour</v>
      </c>
      <c r="E5" s="2"/>
      <c r="F5" s="54" t="s">
        <v>39</v>
      </c>
      <c r="G5" s="22"/>
      <c r="H5" s="22"/>
      <c r="I5" s="22"/>
      <c r="J5" s="22"/>
      <c r="K5" s="22"/>
      <c r="L5" s="19"/>
      <c r="M5" s="19"/>
    </row>
    <row r="6" spans="1:16" x14ac:dyDescent="0.15">
      <c r="A6" s="28" t="s">
        <v>5</v>
      </c>
      <c r="B6" s="50">
        <v>1</v>
      </c>
      <c r="C6" s="29"/>
      <c r="E6" s="2"/>
      <c r="F6" s="54" t="s">
        <v>40</v>
      </c>
      <c r="G6" s="22"/>
      <c r="H6" s="22"/>
      <c r="I6" s="22"/>
      <c r="J6" s="22"/>
      <c r="K6" s="22"/>
      <c r="L6" s="19"/>
      <c r="M6" s="19"/>
    </row>
    <row r="7" spans="1:16" x14ac:dyDescent="0.15">
      <c r="A7" s="28" t="s">
        <v>8</v>
      </c>
      <c r="B7" s="52">
        <v>15</v>
      </c>
      <c r="C7" s="29" t="str">
        <f>"$/"&amp;Unit</f>
        <v>$/hour</v>
      </c>
    </row>
    <row r="8" spans="1:16" ht="14" thickBot="1" x14ac:dyDescent="0.2">
      <c r="A8" s="30" t="s">
        <v>9</v>
      </c>
      <c r="B8" s="53">
        <v>17</v>
      </c>
      <c r="C8" s="31" t="str">
        <f>"$/"&amp;Unit</f>
        <v>$/hour</v>
      </c>
    </row>
    <row r="9" spans="1:16" ht="14" thickBot="1" x14ac:dyDescent="0.2">
      <c r="E9" s="58"/>
      <c r="F9" s="58"/>
      <c r="G9" s="8"/>
      <c r="H9" s="22"/>
      <c r="I9" s="23" t="s">
        <v>37</v>
      </c>
      <c r="J9" s="9"/>
      <c r="K9" s="9"/>
      <c r="L9" s="9"/>
      <c r="M9" s="20"/>
      <c r="N9" s="18"/>
      <c r="O9" s="9"/>
    </row>
    <row r="10" spans="1:16" ht="28" x14ac:dyDescent="0.15">
      <c r="A10" s="25" t="s">
        <v>11</v>
      </c>
      <c r="B10" s="26"/>
      <c r="C10" s="27"/>
      <c r="D10" s="36"/>
      <c r="E10" s="38" t="s">
        <v>13</v>
      </c>
      <c r="F10" s="39"/>
      <c r="G10" s="40" t="s">
        <v>14</v>
      </c>
      <c r="H10" s="41" t="s">
        <v>24</v>
      </c>
      <c r="I10" s="41" t="s">
        <v>15</v>
      </c>
      <c r="J10" s="41" t="s">
        <v>16</v>
      </c>
      <c r="K10" s="41" t="s">
        <v>17</v>
      </c>
      <c r="L10" s="41" t="s">
        <v>18</v>
      </c>
      <c r="M10" s="42" t="s">
        <v>31</v>
      </c>
      <c r="N10" s="42" t="s">
        <v>32</v>
      </c>
      <c r="O10" s="43" t="s">
        <v>33</v>
      </c>
    </row>
    <row r="11" spans="1:16" ht="14" thickBot="1" x14ac:dyDescent="0.2">
      <c r="A11" s="32" t="s">
        <v>19</v>
      </c>
      <c r="B11" s="12"/>
      <c r="C11" s="29"/>
      <c r="D11" s="37"/>
      <c r="E11" s="44" t="s">
        <v>30</v>
      </c>
      <c r="F11" s="45">
        <f>NServers</f>
        <v>1</v>
      </c>
      <c r="G11" s="46">
        <f>B14</f>
        <v>0.91850000000000009</v>
      </c>
      <c r="H11" s="47">
        <f>Prob0</f>
        <v>8.1499993801116943E-2</v>
      </c>
      <c r="I11" s="46">
        <f>B18</f>
        <v>0.14087422241395253</v>
      </c>
      <c r="J11" s="46">
        <f>B19</f>
        <v>0.15337422241395254</v>
      </c>
      <c r="K11" s="46">
        <f>B20</f>
        <v>10.351437862977233</v>
      </c>
      <c r="L11" s="46">
        <f>B21</f>
        <v>11.269937862977233</v>
      </c>
      <c r="M11" s="48">
        <f>B23</f>
        <v>15</v>
      </c>
      <c r="N11" s="48">
        <f>B24</f>
        <v>175.97444367061297</v>
      </c>
      <c r="O11" s="49">
        <f>B25</f>
        <v>190.97444367061297</v>
      </c>
    </row>
    <row r="12" spans="1:16" x14ac:dyDescent="0.15">
      <c r="A12" s="28" t="s">
        <v>22</v>
      </c>
      <c r="B12" s="13">
        <f>1/ArriveRate</f>
        <v>1.3609145345672291E-2</v>
      </c>
      <c r="C12" s="29" t="str">
        <f>Unit&amp;"s"</f>
        <v>hours</v>
      </c>
      <c r="E12" s="2"/>
      <c r="F12" s="11"/>
      <c r="G12" s="10"/>
      <c r="I12" s="2"/>
      <c r="J12" s="2"/>
    </row>
    <row r="13" spans="1:16" x14ac:dyDescent="0.15">
      <c r="A13" s="28" t="s">
        <v>23</v>
      </c>
      <c r="B13" s="13">
        <f>1/ServeRate</f>
        <v>1.2500000000000001E-2</v>
      </c>
      <c r="C13" s="29" t="str">
        <f>Unit&amp;"s"</f>
        <v>hours</v>
      </c>
      <c r="F13" s="4"/>
      <c r="G13" s="8"/>
      <c r="I13" s="9"/>
      <c r="J13" s="9"/>
      <c r="K13" s="9"/>
      <c r="L13" s="9"/>
      <c r="M13" s="18"/>
      <c r="N13" s="18"/>
      <c r="O13" s="9"/>
    </row>
    <row r="14" spans="1:16" ht="14.5" customHeight="1" x14ac:dyDescent="0.15">
      <c r="A14" s="33" t="s">
        <v>38</v>
      </c>
      <c r="B14" s="13">
        <f>ArriveRate/(NServers*ServeRate)</f>
        <v>0.91850000000000009</v>
      </c>
      <c r="C14" s="29"/>
      <c r="E14" s="1"/>
      <c r="G14" s="21"/>
      <c r="H14" s="18"/>
      <c r="I14" s="18"/>
      <c r="J14" s="18"/>
      <c r="K14" s="18"/>
      <c r="L14" s="18"/>
      <c r="M14" s="18"/>
      <c r="N14" s="18"/>
      <c r="O14" s="18"/>
    </row>
    <row r="15" spans="1:16" x14ac:dyDescent="0.15">
      <c r="A15" s="32" t="s">
        <v>20</v>
      </c>
      <c r="B15" s="13"/>
      <c r="C15" s="29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</row>
    <row r="16" spans="1:16" x14ac:dyDescent="0.15">
      <c r="A16" s="28" t="s">
        <v>25</v>
      </c>
      <c r="B16" s="14">
        <v>8.1499993801116943E-2</v>
      </c>
      <c r="C16" s="29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</row>
    <row r="17" spans="1:16" x14ac:dyDescent="0.15">
      <c r="A17" s="28" t="s">
        <v>6</v>
      </c>
      <c r="B17" s="15">
        <f>(NServers*Util)^NServers*Prob0/(FACT(NServers)*(1-Util))</f>
        <v>0.91849993013896947</v>
      </c>
      <c r="C17" s="29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</row>
    <row r="18" spans="1:16" x14ac:dyDescent="0.15">
      <c r="A18" s="28" t="s">
        <v>26</v>
      </c>
      <c r="B18" s="14">
        <f>Lq/ArriveRate</f>
        <v>0.14087422241395253</v>
      </c>
      <c r="C18" s="29" t="str">
        <f>Unit&amp;"s"</f>
        <v>hours</v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16" x14ac:dyDescent="0.15">
      <c r="A19" s="28" t="s">
        <v>27</v>
      </c>
      <c r="B19" s="14">
        <f>L/ArriveRate</f>
        <v>0.15337422241395254</v>
      </c>
      <c r="C19" s="29" t="str">
        <f>Unit&amp;"s"</f>
        <v>hours</v>
      </c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</row>
    <row r="20" spans="1:16" x14ac:dyDescent="0.15">
      <c r="A20" s="28" t="s">
        <v>28</v>
      </c>
      <c r="B20" s="14">
        <f>PWait*Util/(1-Util)</f>
        <v>10.351437862977233</v>
      </c>
      <c r="C20" s="29" t="s">
        <v>7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1:16" x14ac:dyDescent="0.15">
      <c r="A21" s="28" t="s">
        <v>29</v>
      </c>
      <c r="B21" s="14">
        <f>Lq+ArriveRate/ServeRate</f>
        <v>11.269937862977233</v>
      </c>
      <c r="C21" s="29" t="s">
        <v>7</v>
      </c>
      <c r="E21" s="5"/>
      <c r="G21" s="6"/>
      <c r="H21" s="6"/>
      <c r="I21" s="6"/>
      <c r="J21" s="6"/>
      <c r="K21" s="6"/>
      <c r="L21" s="6"/>
      <c r="M21" s="7"/>
      <c r="N21" s="7"/>
      <c r="O21" s="7"/>
    </row>
    <row r="22" spans="1:16" x14ac:dyDescent="0.15">
      <c r="A22" s="32" t="s">
        <v>12</v>
      </c>
      <c r="B22" s="16"/>
      <c r="C22" s="29"/>
      <c r="E22" s="5"/>
      <c r="G22" s="6"/>
      <c r="H22" s="6"/>
      <c r="I22" s="6"/>
      <c r="J22" s="6"/>
      <c r="K22" s="6"/>
      <c r="L22" s="6"/>
      <c r="M22" s="7"/>
      <c r="N22" s="7"/>
      <c r="O22" s="7"/>
    </row>
    <row r="23" spans="1:16" x14ac:dyDescent="0.15">
      <c r="A23" s="33" t="s">
        <v>35</v>
      </c>
      <c r="B23" s="17">
        <f>ServiceCost1*NServers</f>
        <v>15</v>
      </c>
      <c r="C23" s="29" t="s">
        <v>21</v>
      </c>
      <c r="G23" s="3"/>
    </row>
    <row r="24" spans="1:16" x14ac:dyDescent="0.15">
      <c r="A24" s="33" t="s">
        <v>36</v>
      </c>
      <c r="B24" s="17">
        <f>WaitCost1*Lq</f>
        <v>175.97444367061297</v>
      </c>
      <c r="C24" s="29" t="s">
        <v>21</v>
      </c>
      <c r="G24" s="3"/>
    </row>
    <row r="25" spans="1:16" ht="14" thickBot="1" x14ac:dyDescent="0.2">
      <c r="A25" s="34" t="s">
        <v>34</v>
      </c>
      <c r="B25" s="35">
        <f>SUM(B23:B24)</f>
        <v>190.97444367061297</v>
      </c>
      <c r="C25" s="31" t="s">
        <v>21</v>
      </c>
      <c r="G25" s="3"/>
    </row>
    <row r="26" spans="1:16" x14ac:dyDescent="0.15">
      <c r="G26" s="3"/>
    </row>
    <row r="27" spans="1:16" x14ac:dyDescent="0.15">
      <c r="G27" s="3"/>
    </row>
    <row r="28" spans="1:16" x14ac:dyDescent="0.15">
      <c r="G28" s="3"/>
    </row>
    <row r="29" spans="1:16" x14ac:dyDescent="0.15">
      <c r="G29" s="3"/>
    </row>
    <row r="30" spans="1:16" x14ac:dyDescent="0.15">
      <c r="G30" s="3"/>
    </row>
    <row r="31" spans="1:16" x14ac:dyDescent="0.15">
      <c r="G31" s="3"/>
    </row>
    <row r="32" spans="1:16" x14ac:dyDescent="0.15">
      <c r="G32" s="3"/>
    </row>
    <row r="33" spans="7:7" x14ac:dyDescent="0.15">
      <c r="G33" s="3"/>
    </row>
    <row r="34" spans="7:7" x14ac:dyDescent="0.15">
      <c r="G34" s="3"/>
    </row>
    <row r="35" spans="7:7" x14ac:dyDescent="0.15">
      <c r="G35" s="3"/>
    </row>
    <row r="36" spans="7:7" x14ac:dyDescent="0.15">
      <c r="G36" s="3"/>
    </row>
    <row r="37" spans="7:7" x14ac:dyDescent="0.15">
      <c r="G37" s="3"/>
    </row>
    <row r="38" spans="7:7" x14ac:dyDescent="0.15">
      <c r="G38" s="3"/>
    </row>
    <row r="39" spans="7:7" x14ac:dyDescent="0.15">
      <c r="G39" s="3"/>
    </row>
    <row r="40" spans="7:7" x14ac:dyDescent="0.15">
      <c r="G40" s="3"/>
    </row>
    <row r="41" spans="7:7" x14ac:dyDescent="0.15">
      <c r="G41" s="3"/>
    </row>
    <row r="42" spans="7:7" x14ac:dyDescent="0.15">
      <c r="G42" s="3"/>
    </row>
    <row r="43" spans="7:7" x14ac:dyDescent="0.15">
      <c r="G43" s="3"/>
    </row>
    <row r="44" spans="7:7" x14ac:dyDescent="0.15">
      <c r="G44" s="3"/>
    </row>
    <row r="45" spans="7:7" x14ac:dyDescent="0.15">
      <c r="G45" s="3"/>
    </row>
    <row r="46" spans="7:7" x14ac:dyDescent="0.15">
      <c r="G46" s="3"/>
    </row>
    <row r="47" spans="7:7" x14ac:dyDescent="0.15">
      <c r="G47" s="3"/>
    </row>
    <row r="48" spans="7:7" x14ac:dyDescent="0.15">
      <c r="G48" s="3"/>
    </row>
    <row r="49" spans="7:7" x14ac:dyDescent="0.15">
      <c r="G49" s="3"/>
    </row>
    <row r="50" spans="7:7" x14ac:dyDescent="0.15">
      <c r="G50" s="3"/>
    </row>
  </sheetData>
  <mergeCells count="1">
    <mergeCell ref="E9:F9"/>
  </mergeCells>
  <phoneticPr fontId="0" type="noConversion"/>
  <printOptions headings="1" gridLines="1" gridLinesSet="0"/>
  <pageMargins left="0.16" right="0.12" top="0.47" bottom="1" header="0.28999999999999998" footer="0.5"/>
  <pageSetup scale="97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Line="0" autoPict="0" macro="[0]!CalcP0">
                <anchor moveWithCells="1" sizeWithCells="1">
                  <from>
                    <xdr:col>0</xdr:col>
                    <xdr:colOff>1701800</xdr:colOff>
                    <xdr:row>8</xdr:row>
                    <xdr:rowOff>50800</xdr:rowOff>
                  </from>
                  <to>
                    <xdr:col>2</xdr:col>
                    <xdr:colOff>152400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50"/>
  <sheetViews>
    <sheetView zoomScale="140" zoomScaleNormal="140" workbookViewId="0"/>
  </sheetViews>
  <sheetFormatPr baseColWidth="10" defaultColWidth="8.83203125" defaultRowHeight="13" x14ac:dyDescent="0.15"/>
  <cols>
    <col min="1" max="1" width="27" customWidth="1"/>
    <col min="2" max="2" width="8.83203125" style="5" customWidth="1"/>
    <col min="3" max="3" width="13.33203125" style="5" customWidth="1"/>
    <col min="4" max="4" width="3.5" style="5" customWidth="1"/>
    <col min="5" max="5" width="5.83203125" customWidth="1"/>
    <col min="6" max="6" width="8.5" customWidth="1"/>
    <col min="7" max="7" width="14.33203125" customWidth="1"/>
    <col min="8" max="8" width="6" customWidth="1"/>
    <col min="9" max="9" width="6.5" customWidth="1"/>
    <col min="10" max="10" width="7.6640625" customWidth="1"/>
    <col min="11" max="11" width="6.1640625" customWidth="1"/>
    <col min="12" max="12" width="6.6640625" bestFit="1" customWidth="1"/>
    <col min="13" max="13" width="9.5" customWidth="1"/>
    <col min="14" max="14" width="10.33203125" customWidth="1"/>
    <col min="15" max="15" width="8" customWidth="1"/>
  </cols>
  <sheetData>
    <row r="1" spans="1:16" ht="14" thickBot="1" x14ac:dyDescent="0.2">
      <c r="A1" s="24" t="s">
        <v>47</v>
      </c>
    </row>
    <row r="2" spans="1:16" x14ac:dyDescent="0.15">
      <c r="A2" s="25" t="s">
        <v>10</v>
      </c>
      <c r="B2" s="26"/>
      <c r="C2" s="27"/>
    </row>
    <row r="3" spans="1:16" x14ac:dyDescent="0.15">
      <c r="A3" s="28" t="s">
        <v>1</v>
      </c>
      <c r="B3" s="50" t="s">
        <v>2</v>
      </c>
      <c r="C3" s="29"/>
    </row>
    <row r="4" spans="1:16" x14ac:dyDescent="0.15">
      <c r="A4" s="28" t="s">
        <v>3</v>
      </c>
      <c r="B4" s="51">
        <v>73.48</v>
      </c>
      <c r="C4" s="29" t="str">
        <f>"customers/"&amp;Unit</f>
        <v>customers/hour</v>
      </c>
      <c r="E4" s="2"/>
      <c r="F4" s="54" t="s">
        <v>0</v>
      </c>
      <c r="G4" s="55"/>
      <c r="H4" s="55"/>
      <c r="I4" s="55"/>
      <c r="J4" s="55"/>
    </row>
    <row r="5" spans="1:16" x14ac:dyDescent="0.15">
      <c r="A5" s="28" t="s">
        <v>4</v>
      </c>
      <c r="B5" s="51">
        <v>80</v>
      </c>
      <c r="C5" s="29" t="str">
        <f>"customers/"&amp;Unit</f>
        <v>customers/hour</v>
      </c>
      <c r="E5" s="2"/>
      <c r="F5" s="54" t="s">
        <v>41</v>
      </c>
      <c r="G5" s="55"/>
      <c r="H5" s="55"/>
      <c r="I5" s="55"/>
      <c r="J5" s="55"/>
      <c r="K5" s="22"/>
      <c r="L5" s="19"/>
      <c r="M5" s="19"/>
    </row>
    <row r="6" spans="1:16" x14ac:dyDescent="0.15">
      <c r="A6" s="28" t="s">
        <v>5</v>
      </c>
      <c r="B6" s="50">
        <v>10</v>
      </c>
      <c r="C6" s="29"/>
      <c r="E6" s="2"/>
      <c r="F6" s="54" t="s">
        <v>40</v>
      </c>
      <c r="G6" s="55"/>
      <c r="H6" s="55"/>
      <c r="I6" s="55"/>
      <c r="J6" s="55"/>
      <c r="K6" s="22"/>
      <c r="L6" s="19"/>
      <c r="M6" s="19"/>
    </row>
    <row r="7" spans="1:16" x14ac:dyDescent="0.15">
      <c r="A7" s="28" t="s">
        <v>8</v>
      </c>
      <c r="B7" s="52">
        <v>15</v>
      </c>
      <c r="C7" s="29" t="str">
        <f>"$/"&amp;Unit</f>
        <v>$/hour</v>
      </c>
    </row>
    <row r="8" spans="1:16" ht="14" thickBot="1" x14ac:dyDescent="0.2">
      <c r="A8" s="30" t="s">
        <v>9</v>
      </c>
      <c r="B8" s="53">
        <v>17</v>
      </c>
      <c r="C8" s="31" t="str">
        <f>"$/"&amp;Unit</f>
        <v>$/hour</v>
      </c>
    </row>
    <row r="9" spans="1:16" ht="14" thickBot="1" x14ac:dyDescent="0.2">
      <c r="E9" s="58"/>
      <c r="F9" s="58"/>
      <c r="G9" s="8"/>
      <c r="I9" s="23" t="s">
        <v>37</v>
      </c>
      <c r="J9" s="9"/>
      <c r="K9" s="9"/>
      <c r="L9" s="9"/>
      <c r="M9" s="20"/>
      <c r="N9" s="18"/>
      <c r="O9" s="9"/>
    </row>
    <row r="10" spans="1:16" ht="28" x14ac:dyDescent="0.15">
      <c r="A10" s="25" t="s">
        <v>11</v>
      </c>
      <c r="B10" s="26"/>
      <c r="C10" s="27"/>
      <c r="D10" s="37"/>
      <c r="E10" s="38" t="s">
        <v>13</v>
      </c>
      <c r="F10" s="39"/>
      <c r="G10" s="40" t="s">
        <v>14</v>
      </c>
      <c r="H10" s="41" t="s">
        <v>24</v>
      </c>
      <c r="I10" s="41" t="s">
        <v>15</v>
      </c>
      <c r="J10" s="41" t="s">
        <v>16</v>
      </c>
      <c r="K10" s="41" t="s">
        <v>17</v>
      </c>
      <c r="L10" s="41" t="s">
        <v>18</v>
      </c>
      <c r="M10" s="42" t="s">
        <v>31</v>
      </c>
      <c r="N10" s="42" t="s">
        <v>32</v>
      </c>
      <c r="O10" s="43" t="s">
        <v>33</v>
      </c>
    </row>
    <row r="11" spans="1:16" ht="14" thickBot="1" x14ac:dyDescent="0.2">
      <c r="A11" s="32" t="s">
        <v>19</v>
      </c>
      <c r="B11" s="12"/>
      <c r="C11" s="29"/>
      <c r="D11" s="37"/>
      <c r="E11" s="44" t="s">
        <v>30</v>
      </c>
      <c r="F11" s="45">
        <f>NServers</f>
        <v>10</v>
      </c>
      <c r="G11" s="46">
        <f>B14</f>
        <v>9.1850000000000001E-2</v>
      </c>
      <c r="H11" s="47">
        <f>Prob0</f>
        <v>0.39911727742289743</v>
      </c>
      <c r="I11" s="46">
        <f>B18</f>
        <v>7.1240004856066115E-11</v>
      </c>
      <c r="J11" s="46">
        <f>B19</f>
        <v>1.2500000071240006E-2</v>
      </c>
      <c r="K11" s="46">
        <f>B20</f>
        <v>5.2347155568237385E-9</v>
      </c>
      <c r="L11" s="46">
        <f>B21</f>
        <v>0.91850000523471564</v>
      </c>
      <c r="M11" s="48">
        <f>B23</f>
        <v>150</v>
      </c>
      <c r="N11" s="48">
        <f>B24</f>
        <v>8.8990164466003558E-8</v>
      </c>
      <c r="O11" s="49">
        <f>B25</f>
        <v>150.00000008899016</v>
      </c>
    </row>
    <row r="12" spans="1:16" x14ac:dyDescent="0.15">
      <c r="A12" s="28" t="s">
        <v>22</v>
      </c>
      <c r="B12" s="13">
        <f>1/ArriveRate</f>
        <v>1.3609145345672291E-2</v>
      </c>
      <c r="C12" s="29" t="str">
        <f>Unit&amp;"s"</f>
        <v>hours</v>
      </c>
      <c r="E12" s="2"/>
      <c r="F12" s="11"/>
      <c r="G12" s="10"/>
      <c r="I12" s="2"/>
      <c r="J12" s="2"/>
    </row>
    <row r="13" spans="1:16" x14ac:dyDescent="0.15">
      <c r="A13" s="28" t="s">
        <v>23</v>
      </c>
      <c r="B13" s="13">
        <f>1/ServeRate</f>
        <v>1.2500000000000001E-2</v>
      </c>
      <c r="C13" s="29" t="str">
        <f>Unit&amp;"s"</f>
        <v>hours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</row>
    <row r="14" spans="1:16" ht="26.5" customHeight="1" x14ac:dyDescent="0.15">
      <c r="A14" s="33" t="s">
        <v>38</v>
      </c>
      <c r="B14" s="13">
        <f>ArriveRate/(NServers*ServeRate)</f>
        <v>9.1850000000000001E-2</v>
      </c>
      <c r="C14" s="29"/>
      <c r="D14" s="3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</row>
    <row r="15" spans="1:16" x14ac:dyDescent="0.15">
      <c r="A15" s="32" t="s">
        <v>20</v>
      </c>
      <c r="B15" s="13"/>
      <c r="C15" s="29"/>
      <c r="D15" s="3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</row>
    <row r="16" spans="1:16" x14ac:dyDescent="0.15">
      <c r="A16" s="28" t="s">
        <v>25</v>
      </c>
      <c r="B16" s="14">
        <v>0.39911727742289743</v>
      </c>
      <c r="C16" s="29"/>
      <c r="D16" s="3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</row>
    <row r="17" spans="1:16" x14ac:dyDescent="0.15">
      <c r="A17" s="28" t="s">
        <v>6</v>
      </c>
      <c r="B17" s="15">
        <f>(NServers*Util)^NServers*Prob0/(FACT(NServers)*(1-Util))</f>
        <v>5.1757288328029156E-8</v>
      </c>
      <c r="C17" s="29"/>
      <c r="D17" s="3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</row>
    <row r="18" spans="1:16" x14ac:dyDescent="0.15">
      <c r="A18" s="28" t="s">
        <v>26</v>
      </c>
      <c r="B18" s="14">
        <f>Lq/ArriveRate</f>
        <v>7.1240004856066115E-11</v>
      </c>
      <c r="C18" s="29" t="str">
        <f>Unit&amp;"s"</f>
        <v>hours</v>
      </c>
      <c r="D18" s="3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</row>
    <row r="19" spans="1:16" x14ac:dyDescent="0.15">
      <c r="A19" s="28" t="s">
        <v>27</v>
      </c>
      <c r="B19" s="14">
        <f>L/ArriveRate</f>
        <v>1.2500000071240006E-2</v>
      </c>
      <c r="C19" s="29" t="str">
        <f>Unit&amp;"s"</f>
        <v>hours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</row>
    <row r="20" spans="1:16" x14ac:dyDescent="0.15">
      <c r="A20" s="28" t="s">
        <v>28</v>
      </c>
      <c r="B20" s="14">
        <f>PWait*Util/(1-Util)</f>
        <v>5.2347155568237385E-9</v>
      </c>
      <c r="C20" s="29" t="s">
        <v>7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</row>
    <row r="21" spans="1:16" x14ac:dyDescent="0.15">
      <c r="A21" s="28" t="s">
        <v>29</v>
      </c>
      <c r="B21" s="14">
        <f>Lq+ArriveRate/ServeRate</f>
        <v>0.91850000523471564</v>
      </c>
      <c r="C21" s="29" t="s">
        <v>7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</row>
    <row r="22" spans="1:16" x14ac:dyDescent="0.15">
      <c r="A22" s="32" t="s">
        <v>12</v>
      </c>
      <c r="B22" s="16"/>
      <c r="C22" s="29"/>
      <c r="E22" s="5"/>
      <c r="G22" s="6"/>
      <c r="H22" s="6"/>
      <c r="I22" s="6"/>
      <c r="J22" s="6"/>
      <c r="K22" s="6"/>
      <c r="L22" s="6"/>
      <c r="M22" s="7"/>
      <c r="N22" s="7"/>
      <c r="O22" s="7"/>
    </row>
    <row r="23" spans="1:16" x14ac:dyDescent="0.15">
      <c r="A23" s="33" t="s">
        <v>35</v>
      </c>
      <c r="B23" s="17">
        <f>ServiceCost1*NServers</f>
        <v>150</v>
      </c>
      <c r="C23" s="29" t="s">
        <v>21</v>
      </c>
      <c r="G23" s="3"/>
    </row>
    <row r="24" spans="1:16" x14ac:dyDescent="0.15">
      <c r="A24" s="33" t="s">
        <v>36</v>
      </c>
      <c r="B24" s="17">
        <f>WaitCost1*Lq</f>
        <v>8.8990164466003558E-8</v>
      </c>
      <c r="C24" s="29" t="s">
        <v>21</v>
      </c>
      <c r="G24" s="3"/>
    </row>
    <row r="25" spans="1:16" ht="14" thickBot="1" x14ac:dyDescent="0.2">
      <c r="A25" s="34" t="s">
        <v>34</v>
      </c>
      <c r="B25" s="35">
        <f>SUM(B23:B24)</f>
        <v>150.00000008899016</v>
      </c>
      <c r="C25" s="31" t="s">
        <v>21</v>
      </c>
      <c r="G25" s="3"/>
    </row>
    <row r="26" spans="1:16" x14ac:dyDescent="0.15">
      <c r="G26" s="3"/>
    </row>
    <row r="27" spans="1:16" x14ac:dyDescent="0.15">
      <c r="G27" s="3"/>
    </row>
    <row r="28" spans="1:16" x14ac:dyDescent="0.15">
      <c r="G28" s="3"/>
    </row>
    <row r="29" spans="1:16" x14ac:dyDescent="0.15">
      <c r="G29" s="3"/>
    </row>
    <row r="30" spans="1:16" x14ac:dyDescent="0.15">
      <c r="G30" s="3"/>
    </row>
    <row r="31" spans="1:16" x14ac:dyDescent="0.15">
      <c r="G31" s="3"/>
    </row>
    <row r="32" spans="1:16" x14ac:dyDescent="0.15">
      <c r="G32" s="3"/>
    </row>
    <row r="33" spans="7:7" x14ac:dyDescent="0.15">
      <c r="G33" s="3"/>
    </row>
    <row r="34" spans="7:7" x14ac:dyDescent="0.15">
      <c r="G34" s="3"/>
    </row>
    <row r="35" spans="7:7" x14ac:dyDescent="0.15">
      <c r="G35" s="3"/>
    </row>
    <row r="36" spans="7:7" x14ac:dyDescent="0.15">
      <c r="G36" s="3"/>
    </row>
    <row r="37" spans="7:7" x14ac:dyDescent="0.15">
      <c r="G37" s="3"/>
    </row>
    <row r="38" spans="7:7" x14ac:dyDescent="0.15">
      <c r="G38" s="3"/>
    </row>
    <row r="39" spans="7:7" x14ac:dyDescent="0.15">
      <c r="G39" s="3"/>
    </row>
    <row r="40" spans="7:7" x14ac:dyDescent="0.15">
      <c r="G40" s="3"/>
    </row>
    <row r="41" spans="7:7" x14ac:dyDescent="0.15">
      <c r="G41" s="3"/>
    </row>
    <row r="42" spans="7:7" x14ac:dyDescent="0.15">
      <c r="G42" s="3"/>
    </row>
    <row r="43" spans="7:7" x14ac:dyDescent="0.15">
      <c r="G43" s="3"/>
    </row>
    <row r="44" spans="7:7" x14ac:dyDescent="0.15">
      <c r="G44" s="3"/>
    </row>
    <row r="45" spans="7:7" x14ac:dyDescent="0.15">
      <c r="G45" s="3"/>
    </row>
    <row r="46" spans="7:7" x14ac:dyDescent="0.15">
      <c r="G46" s="3"/>
    </row>
    <row r="47" spans="7:7" x14ac:dyDescent="0.15">
      <c r="G47" s="3"/>
    </row>
    <row r="48" spans="7:7" x14ac:dyDescent="0.15">
      <c r="G48" s="3"/>
    </row>
    <row r="49" spans="7:7" x14ac:dyDescent="0.15">
      <c r="G49" s="3"/>
    </row>
    <row r="50" spans="7:7" x14ac:dyDescent="0.15">
      <c r="G50" s="3"/>
    </row>
  </sheetData>
  <mergeCells count="1">
    <mergeCell ref="E9:F9"/>
  </mergeCells>
  <printOptions headings="1" gridLines="1" gridLinesSet="0"/>
  <pageMargins left="0.16" right="0.12" top="0.47" bottom="1" header="0.28999999999999998" footer="0.5"/>
  <pageSetup scale="97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Line="0" autoPict="0" macro="[0]!CalcP0">
                <anchor moveWithCells="1" sizeWithCells="1">
                  <from>
                    <xdr:col>0</xdr:col>
                    <xdr:colOff>1701800</xdr:colOff>
                    <xdr:row>8</xdr:row>
                    <xdr:rowOff>50800</xdr:rowOff>
                  </from>
                  <to>
                    <xdr:col>2</xdr:col>
                    <xdr:colOff>152400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BED07-2AE1-604C-B7A9-7B92389900FF}">
  <dimension ref="A1:K12"/>
  <sheetViews>
    <sheetView workbookViewId="0">
      <selection activeCell="I2" sqref="I2:K12"/>
    </sheetView>
  </sheetViews>
  <sheetFormatPr baseColWidth="10" defaultRowHeight="13" x14ac:dyDescent="0.15"/>
  <cols>
    <col min="1" max="1" width="18.6640625" bestFit="1" customWidth="1"/>
    <col min="2" max="2" width="9.83203125" bestFit="1" customWidth="1"/>
    <col min="3" max="4" width="15.83203125" bestFit="1" customWidth="1"/>
    <col min="5" max="5" width="16" bestFit="1" customWidth="1"/>
    <col min="6" max="6" width="15.83203125" bestFit="1" customWidth="1"/>
    <col min="7" max="7" width="16" bestFit="1" customWidth="1"/>
    <col min="8" max="8" width="15.83203125" bestFit="1" customWidth="1"/>
    <col min="9" max="10" width="20.1640625" bestFit="1" customWidth="1"/>
    <col min="11" max="11" width="17" bestFit="1" customWidth="1"/>
  </cols>
  <sheetData>
    <row r="1" spans="1:11" ht="25" x14ac:dyDescent="0.25">
      <c r="A1" s="59" t="s">
        <v>46</v>
      </c>
      <c r="B1" s="59"/>
      <c r="C1" s="59"/>
      <c r="D1" s="59"/>
      <c r="E1" s="59"/>
      <c r="F1" s="59"/>
      <c r="G1" s="59"/>
      <c r="H1" s="59"/>
      <c r="I1" s="59"/>
      <c r="J1" s="59"/>
      <c r="K1" s="59"/>
    </row>
    <row r="2" spans="1:11" ht="20" x14ac:dyDescent="0.15">
      <c r="A2" s="57" t="s">
        <v>43</v>
      </c>
      <c r="B2" s="57" t="s">
        <v>42</v>
      </c>
      <c r="C2" s="57" t="s">
        <v>14</v>
      </c>
      <c r="D2" s="57" t="s">
        <v>24</v>
      </c>
      <c r="E2" s="57" t="s">
        <v>15</v>
      </c>
      <c r="F2" s="57" t="s">
        <v>16</v>
      </c>
      <c r="G2" s="57" t="s">
        <v>17</v>
      </c>
      <c r="H2" s="57" t="s">
        <v>18</v>
      </c>
      <c r="I2" s="57" t="s">
        <v>31</v>
      </c>
      <c r="J2" s="57" t="s">
        <v>32</v>
      </c>
      <c r="K2" s="57" t="s">
        <v>33</v>
      </c>
    </row>
    <row r="3" spans="1:11" ht="18" x14ac:dyDescent="0.15">
      <c r="A3" s="56" t="s">
        <v>44</v>
      </c>
      <c r="B3" s="56">
        <v>1</v>
      </c>
      <c r="C3" s="56">
        <v>0.91850000000000009</v>
      </c>
      <c r="D3" s="56">
        <v>8.1499993801116943E-2</v>
      </c>
      <c r="E3" s="56">
        <v>0.14087422241395253</v>
      </c>
      <c r="F3" s="56">
        <v>0.15337422241395254</v>
      </c>
      <c r="G3" s="56">
        <v>10.351437862977233</v>
      </c>
      <c r="H3" s="56">
        <v>11.269937862977233</v>
      </c>
      <c r="I3" s="56">
        <v>15</v>
      </c>
      <c r="J3" s="56">
        <v>175.97444367061297</v>
      </c>
      <c r="K3" s="56">
        <v>190.97444367061297</v>
      </c>
    </row>
    <row r="4" spans="1:11" ht="18" x14ac:dyDescent="0.15">
      <c r="A4" s="60" t="s">
        <v>45</v>
      </c>
      <c r="B4" s="60">
        <v>2</v>
      </c>
      <c r="C4" s="60">
        <v>0.45925000000000005</v>
      </c>
      <c r="D4" s="60">
        <v>0.37056706921501287</v>
      </c>
      <c r="E4" s="60">
        <v>3.3410433409067956E-3</v>
      </c>
      <c r="F4" s="60">
        <v>1.5841043340906798E-2</v>
      </c>
      <c r="G4" s="60">
        <v>0.24549986468983134</v>
      </c>
      <c r="H4" s="60">
        <v>1.1639998646898315</v>
      </c>
      <c r="I4" s="60">
        <v>30</v>
      </c>
      <c r="J4" s="60">
        <v>4.1734976997271325</v>
      </c>
      <c r="K4" s="60">
        <v>34.173497699727136</v>
      </c>
    </row>
    <row r="5" spans="1:11" ht="18" x14ac:dyDescent="0.15">
      <c r="A5" s="56" t="s">
        <v>45</v>
      </c>
      <c r="B5" s="56">
        <v>3</v>
      </c>
      <c r="C5" s="56">
        <v>0.3061666666666667</v>
      </c>
      <c r="D5" s="56">
        <v>0.39581112818533259</v>
      </c>
      <c r="E5" s="56">
        <v>4.4243825319669459E-4</v>
      </c>
      <c r="F5" s="56">
        <v>1.2942438253196695E-2</v>
      </c>
      <c r="G5" s="56">
        <v>3.2510362844893122E-2</v>
      </c>
      <c r="H5" s="56">
        <v>0.95101036284489326</v>
      </c>
      <c r="I5" s="56">
        <v>45</v>
      </c>
      <c r="J5" s="56">
        <v>0.55267616836318312</v>
      </c>
      <c r="K5" s="56">
        <v>45.552676168363185</v>
      </c>
    </row>
    <row r="6" spans="1:11" ht="18" x14ac:dyDescent="0.15">
      <c r="A6" s="56" t="s">
        <v>45</v>
      </c>
      <c r="B6" s="56">
        <v>4</v>
      </c>
      <c r="C6" s="56">
        <v>0.22962500000000002</v>
      </c>
      <c r="D6" s="56">
        <v>0.39872986824552481</v>
      </c>
      <c r="E6" s="56">
        <v>6.2262969597912912E-5</v>
      </c>
      <c r="F6" s="56">
        <v>1.2562262969597913E-2</v>
      </c>
      <c r="G6" s="56">
        <v>4.5750830060546409E-3</v>
      </c>
      <c r="H6" s="56">
        <v>0.92307508300605479</v>
      </c>
      <c r="I6" s="56">
        <v>60</v>
      </c>
      <c r="J6" s="56">
        <v>7.7776411102928891E-2</v>
      </c>
      <c r="K6" s="56">
        <v>60.077776411102931</v>
      </c>
    </row>
    <row r="7" spans="1:11" ht="18" x14ac:dyDescent="0.15">
      <c r="A7" s="56" t="s">
        <v>45</v>
      </c>
      <c r="B7" s="56">
        <v>5</v>
      </c>
      <c r="C7" s="56">
        <v>0.1837</v>
      </c>
      <c r="D7" s="56">
        <v>0.39907449606548889</v>
      </c>
      <c r="E7" s="56">
        <v>8.156595900662295E-6</v>
      </c>
      <c r="F7" s="56">
        <v>1.2508156595900662E-2</v>
      </c>
      <c r="G7" s="56">
        <v>5.9934666678066546E-4</v>
      </c>
      <c r="H7" s="56">
        <v>0.91909934666678073</v>
      </c>
      <c r="I7" s="56">
        <v>75</v>
      </c>
      <c r="J7" s="56">
        <v>1.0188893335271313E-2</v>
      </c>
      <c r="K7" s="56">
        <v>75.010188893335268</v>
      </c>
    </row>
    <row r="8" spans="1:11" ht="18" x14ac:dyDescent="0.15">
      <c r="A8" s="56" t="s">
        <v>45</v>
      </c>
      <c r="B8" s="56">
        <v>6</v>
      </c>
      <c r="C8" s="56">
        <v>0.15308333333333335</v>
      </c>
      <c r="D8" s="56">
        <v>0.39911289884985762</v>
      </c>
      <c r="E8" s="56">
        <v>9.667532369208275E-7</v>
      </c>
      <c r="F8" s="56">
        <v>1.2500966753236921E-2</v>
      </c>
      <c r="G8" s="56">
        <v>7.1037027848942408E-5</v>
      </c>
      <c r="H8" s="56">
        <v>0.91857103702784904</v>
      </c>
      <c r="I8" s="56">
        <v>90</v>
      </c>
      <c r="J8" s="56">
        <v>1.207629473432021E-3</v>
      </c>
      <c r="K8" s="56">
        <v>90.001207629473427</v>
      </c>
    </row>
    <row r="9" spans="1:11" ht="18" x14ac:dyDescent="0.15">
      <c r="A9" s="56" t="s">
        <v>45</v>
      </c>
      <c r="B9" s="56">
        <v>7</v>
      </c>
      <c r="C9" s="56">
        <v>0.13121428571428573</v>
      </c>
      <c r="D9" s="56">
        <v>0.39911684719342488</v>
      </c>
      <c r="E9" s="56">
        <v>1.0332615751177724E-7</v>
      </c>
      <c r="F9" s="56">
        <v>1.2500103326157513E-2</v>
      </c>
      <c r="G9" s="56">
        <v>7.5924060539653916E-6</v>
      </c>
      <c r="H9" s="56">
        <v>0.91850759240605406</v>
      </c>
      <c r="I9" s="56">
        <v>105</v>
      </c>
      <c r="J9" s="56">
        <v>1.2907090291741166E-4</v>
      </c>
      <c r="K9" s="56">
        <v>105.00012907090291</v>
      </c>
    </row>
    <row r="10" spans="1:11" ht="18" x14ac:dyDescent="0.15">
      <c r="A10" s="56" t="s">
        <v>45</v>
      </c>
      <c r="B10" s="56">
        <v>8</v>
      </c>
      <c r="C10" s="56">
        <v>0.11481250000000001</v>
      </c>
      <c r="D10" s="56">
        <v>0.3991172308521504</v>
      </c>
      <c r="E10" s="56">
        <v>9.9991416434993699E-9</v>
      </c>
      <c r="F10" s="56">
        <v>1.2500009999141644E-2</v>
      </c>
      <c r="G10" s="56">
        <v>7.3473692796433372E-7</v>
      </c>
      <c r="H10" s="56">
        <v>0.91850073473692806</v>
      </c>
      <c r="I10" s="56">
        <v>120</v>
      </c>
      <c r="J10" s="56">
        <v>1.2490527775393673E-5</v>
      </c>
      <c r="K10" s="56">
        <v>120.00001249052778</v>
      </c>
    </row>
    <row r="11" spans="1:11" ht="18" x14ac:dyDescent="0.15">
      <c r="A11" s="56" t="s">
        <v>45</v>
      </c>
      <c r="B11" s="56">
        <v>9</v>
      </c>
      <c r="C11" s="56">
        <v>0.10205555555555557</v>
      </c>
      <c r="D11" s="56">
        <v>0.39911725999850711</v>
      </c>
      <c r="E11" s="56">
        <v>8.814922335198807E-10</v>
      </c>
      <c r="F11" s="56">
        <v>1.2500000881492234E-2</v>
      </c>
      <c r="G11" s="56">
        <v>6.4772049319040834E-8</v>
      </c>
      <c r="H11" s="56">
        <v>0.91850006477204937</v>
      </c>
      <c r="I11" s="56">
        <v>135</v>
      </c>
      <c r="J11" s="56">
        <v>1.1011248384236942E-6</v>
      </c>
      <c r="K11" s="56">
        <v>135.00000110112484</v>
      </c>
    </row>
    <row r="12" spans="1:11" ht="18" x14ac:dyDescent="0.15">
      <c r="A12" s="56" t="s">
        <v>45</v>
      </c>
      <c r="B12" s="56">
        <v>10</v>
      </c>
      <c r="C12" s="56">
        <v>9.1850000000000001E-2</v>
      </c>
      <c r="D12" s="56">
        <v>0.39911727742289743</v>
      </c>
      <c r="E12" s="56">
        <v>7.1240004856066115E-11</v>
      </c>
      <c r="F12" s="56">
        <v>1.2500000071240006E-2</v>
      </c>
      <c r="G12" s="56">
        <v>5.2347155568237385E-9</v>
      </c>
      <c r="H12" s="56">
        <v>0.91850000523471564</v>
      </c>
      <c r="I12" s="56">
        <v>150</v>
      </c>
      <c r="J12" s="56">
        <v>8.8990164466003558E-8</v>
      </c>
      <c r="K12" s="56">
        <v>150.00000008899016</v>
      </c>
    </row>
  </sheetData>
  <mergeCells count="1">
    <mergeCell ref="A1:K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3A01D-37D3-BC4B-9677-ED9089495500}">
  <sheetPr codeName="Sheet3">
    <pageSetUpPr fitToPage="1"/>
  </sheetPr>
  <dimension ref="A1:P50"/>
  <sheetViews>
    <sheetView zoomScale="140" zoomScaleNormal="140" workbookViewId="0">
      <selection activeCell="Q1" sqref="Q1"/>
    </sheetView>
  </sheetViews>
  <sheetFormatPr baseColWidth="10" defaultColWidth="8.83203125" defaultRowHeight="13" x14ac:dyDescent="0.15"/>
  <cols>
    <col min="1" max="1" width="27" customWidth="1"/>
    <col min="2" max="2" width="8.83203125" style="5" customWidth="1"/>
    <col min="3" max="3" width="13.33203125" style="5" customWidth="1"/>
    <col min="4" max="4" width="3.5" style="5" customWidth="1"/>
    <col min="5" max="5" width="5.83203125" customWidth="1"/>
    <col min="6" max="6" width="8.5" customWidth="1"/>
    <col min="7" max="7" width="14.33203125" customWidth="1"/>
    <col min="8" max="8" width="6" customWidth="1"/>
    <col min="9" max="9" width="6.5" customWidth="1"/>
    <col min="10" max="10" width="7.6640625" customWidth="1"/>
    <col min="11" max="11" width="6.1640625" customWidth="1"/>
    <col min="12" max="12" width="6.6640625" bestFit="1" customWidth="1"/>
    <col min="13" max="13" width="11.5" bestFit="1" customWidth="1"/>
    <col min="14" max="14" width="10.33203125" customWidth="1"/>
    <col min="15" max="15" width="8" customWidth="1"/>
  </cols>
  <sheetData>
    <row r="1" spans="1:16" ht="14" thickBot="1" x14ac:dyDescent="0.2">
      <c r="A1" s="24" t="s">
        <v>47</v>
      </c>
      <c r="M1" s="70" t="s">
        <v>48</v>
      </c>
      <c r="N1" s="70" t="s">
        <v>49</v>
      </c>
      <c r="O1" s="70" t="s">
        <v>50</v>
      </c>
    </row>
    <row r="2" spans="1:16" x14ac:dyDescent="0.15">
      <c r="A2" s="25" t="s">
        <v>10</v>
      </c>
      <c r="B2" s="26"/>
      <c r="C2" s="27"/>
      <c r="M2" s="71">
        <v>0.04</v>
      </c>
      <c r="N2" s="72">
        <v>15</v>
      </c>
      <c r="O2" s="72">
        <v>17</v>
      </c>
    </row>
    <row r="3" spans="1:16" x14ac:dyDescent="0.15">
      <c r="A3" s="28" t="s">
        <v>1</v>
      </c>
      <c r="B3" s="50" t="s">
        <v>2</v>
      </c>
      <c r="C3" s="29"/>
    </row>
    <row r="4" spans="1:16" x14ac:dyDescent="0.15">
      <c r="A4" s="28" t="s">
        <v>3</v>
      </c>
      <c r="B4" s="51">
        <v>73.48</v>
      </c>
      <c r="C4" s="29" t="str">
        <f>"customers/"&amp;Unit</f>
        <v>customers/hour</v>
      </c>
      <c r="E4" s="2"/>
      <c r="F4" s="54" t="s">
        <v>0</v>
      </c>
      <c r="G4" s="55"/>
      <c r="H4" s="55"/>
      <c r="I4" s="55"/>
      <c r="J4" s="55"/>
    </row>
    <row r="5" spans="1:16" x14ac:dyDescent="0.15">
      <c r="A5" s="28" t="s">
        <v>4</v>
      </c>
      <c r="B5" s="51">
        <v>80</v>
      </c>
      <c r="C5" s="29" t="str">
        <f>"customers/"&amp;Unit</f>
        <v>customers/hour</v>
      </c>
      <c r="E5" s="2"/>
      <c r="F5" s="54" t="s">
        <v>41</v>
      </c>
      <c r="G5" s="55"/>
      <c r="H5" s="55"/>
      <c r="I5" s="55"/>
      <c r="J5" s="55"/>
      <c r="K5" s="22"/>
      <c r="L5" s="19"/>
      <c r="M5" s="19"/>
    </row>
    <row r="6" spans="1:16" x14ac:dyDescent="0.15">
      <c r="A6" s="28" t="s">
        <v>5</v>
      </c>
      <c r="B6" s="50">
        <v>5</v>
      </c>
      <c r="C6" s="29"/>
      <c r="E6" s="2"/>
      <c r="F6" s="54" t="s">
        <v>40</v>
      </c>
      <c r="G6" s="55"/>
      <c r="H6" s="55"/>
      <c r="I6" s="55"/>
      <c r="J6" s="55"/>
      <c r="K6" s="22"/>
      <c r="L6" s="19"/>
      <c r="M6" s="19"/>
    </row>
    <row r="7" spans="1:16" x14ac:dyDescent="0.15">
      <c r="A7" s="28" t="s">
        <v>8</v>
      </c>
      <c r="B7" s="52">
        <f>N2+(N2*M2)</f>
        <v>15.6</v>
      </c>
      <c r="C7" s="29" t="str">
        <f>"$/"&amp;Unit</f>
        <v>$/hour</v>
      </c>
    </row>
    <row r="8" spans="1:16" ht="14" thickBot="1" x14ac:dyDescent="0.2">
      <c r="A8" s="30" t="s">
        <v>9</v>
      </c>
      <c r="B8" s="52">
        <f>O2+(O2*M2)</f>
        <v>17.68</v>
      </c>
      <c r="C8" s="31" t="str">
        <f>"$/"&amp;Unit</f>
        <v>$/hour</v>
      </c>
    </row>
    <row r="9" spans="1:16" ht="14" thickBot="1" x14ac:dyDescent="0.2">
      <c r="E9" s="58"/>
      <c r="F9" s="58"/>
      <c r="G9" s="8"/>
      <c r="I9" s="23" t="s">
        <v>37</v>
      </c>
      <c r="J9" s="9"/>
      <c r="K9" s="9"/>
      <c r="L9" s="9"/>
      <c r="M9" s="20"/>
      <c r="N9" s="18"/>
      <c r="O9" s="9"/>
    </row>
    <row r="10" spans="1:16" ht="28" x14ac:dyDescent="0.15">
      <c r="A10" s="25" t="s">
        <v>11</v>
      </c>
      <c r="B10" s="26"/>
      <c r="C10" s="27"/>
      <c r="D10" s="37"/>
      <c r="E10" s="38" t="s">
        <v>13</v>
      </c>
      <c r="F10" s="39"/>
      <c r="G10" s="40" t="s">
        <v>14</v>
      </c>
      <c r="H10" s="41" t="s">
        <v>24</v>
      </c>
      <c r="I10" s="41" t="s">
        <v>15</v>
      </c>
      <c r="J10" s="41" t="s">
        <v>16</v>
      </c>
      <c r="K10" s="41" t="s">
        <v>17</v>
      </c>
      <c r="L10" s="41" t="s">
        <v>18</v>
      </c>
      <c r="M10" s="42" t="s">
        <v>31</v>
      </c>
      <c r="N10" s="42" t="s">
        <v>32</v>
      </c>
      <c r="O10" s="43" t="s">
        <v>33</v>
      </c>
    </row>
    <row r="11" spans="1:16" ht="14" thickBot="1" x14ac:dyDescent="0.2">
      <c r="A11" s="32" t="s">
        <v>19</v>
      </c>
      <c r="B11" s="12"/>
      <c r="C11" s="29"/>
      <c r="D11" s="37"/>
      <c r="E11" s="44" t="s">
        <v>30</v>
      </c>
      <c r="F11" s="45">
        <f>NServers</f>
        <v>5</v>
      </c>
      <c r="G11" s="46">
        <f>B14</f>
        <v>0.1837</v>
      </c>
      <c r="H11" s="47">
        <f>Prob0</f>
        <v>0.39907449606548889</v>
      </c>
      <c r="I11" s="46">
        <f>B18</f>
        <v>8.156595900662295E-6</v>
      </c>
      <c r="J11" s="46">
        <f>B19</f>
        <v>1.2508156595900662E-2</v>
      </c>
      <c r="K11" s="46">
        <f>B20</f>
        <v>5.9934666678066546E-4</v>
      </c>
      <c r="L11" s="46">
        <f>B21</f>
        <v>0.91909934666678073</v>
      </c>
      <c r="M11" s="48">
        <f>B23</f>
        <v>78</v>
      </c>
      <c r="N11" s="48">
        <f>B24</f>
        <v>1.0596449068682165E-2</v>
      </c>
      <c r="O11" s="49">
        <f>B25</f>
        <v>78.010596449068686</v>
      </c>
    </row>
    <row r="12" spans="1:16" x14ac:dyDescent="0.15">
      <c r="A12" s="28" t="s">
        <v>22</v>
      </c>
      <c r="B12" s="13">
        <f>1/ArriveRate</f>
        <v>1.3609145345672291E-2</v>
      </c>
      <c r="C12" s="29" t="str">
        <f>Unit&amp;"s"</f>
        <v>hours</v>
      </c>
      <c r="E12" s="2"/>
      <c r="F12" s="11"/>
      <c r="G12" s="10"/>
      <c r="I12" s="2"/>
      <c r="J12" s="2"/>
    </row>
    <row r="13" spans="1:16" ht="14" thickBot="1" x14ac:dyDescent="0.2">
      <c r="A13" s="28" t="s">
        <v>23</v>
      </c>
      <c r="B13" s="13">
        <f>1/ServeRate</f>
        <v>1.2500000000000001E-2</v>
      </c>
      <c r="C13" s="29" t="str">
        <f>Unit&amp;"s"</f>
        <v>hours</v>
      </c>
      <c r="E13" s="58"/>
      <c r="F13" s="58"/>
      <c r="G13" s="8"/>
      <c r="I13" s="23" t="s">
        <v>37</v>
      </c>
      <c r="J13" s="9"/>
      <c r="K13" s="9"/>
      <c r="L13" s="9"/>
      <c r="M13" s="20"/>
      <c r="N13" s="18"/>
      <c r="O13" s="9"/>
      <c r="P13" s="7"/>
    </row>
    <row r="14" spans="1:16" ht="26.5" customHeight="1" x14ac:dyDescent="0.15">
      <c r="A14" s="33" t="s">
        <v>38</v>
      </c>
      <c r="B14" s="13">
        <f>ArriveRate/(NServers*ServeRate)</f>
        <v>0.1837</v>
      </c>
      <c r="C14" s="29"/>
      <c r="D14" s="37"/>
      <c r="E14" s="38" t="s">
        <v>13</v>
      </c>
      <c r="F14" s="39"/>
      <c r="G14" s="40" t="s">
        <v>14</v>
      </c>
      <c r="H14" s="41" t="s">
        <v>24</v>
      </c>
      <c r="I14" s="41" t="s">
        <v>15</v>
      </c>
      <c r="J14" s="41" t="s">
        <v>16</v>
      </c>
      <c r="K14" s="41" t="s">
        <v>17</v>
      </c>
      <c r="L14" s="41" t="s">
        <v>18</v>
      </c>
      <c r="M14" s="42" t="s">
        <v>31</v>
      </c>
      <c r="N14" s="42" t="s">
        <v>32</v>
      </c>
      <c r="O14" s="43" t="s">
        <v>33</v>
      </c>
      <c r="P14" s="7"/>
    </row>
    <row r="15" spans="1:16" x14ac:dyDescent="0.15">
      <c r="A15" s="32" t="s">
        <v>20</v>
      </c>
      <c r="B15" s="13"/>
      <c r="C15" s="29"/>
      <c r="D15" s="37"/>
      <c r="E15" s="62" t="s">
        <v>30</v>
      </c>
      <c r="F15" s="62">
        <v>2</v>
      </c>
      <c r="G15" s="62">
        <v>0.45925000000000005</v>
      </c>
      <c r="H15" s="62">
        <v>0.37056706921501287</v>
      </c>
      <c r="I15" s="62">
        <v>3.3410433409067956E-3</v>
      </c>
      <c r="J15" s="62">
        <v>1.5841043340906798E-2</v>
      </c>
      <c r="K15" s="62">
        <v>0.24549986468983134</v>
      </c>
      <c r="L15" s="62">
        <v>1.1639998646898315</v>
      </c>
      <c r="M15" s="62">
        <v>31.2</v>
      </c>
      <c r="N15" s="62">
        <v>4.3404376077162183</v>
      </c>
      <c r="O15" s="62">
        <v>35.540437607716214</v>
      </c>
      <c r="P15" s="7"/>
    </row>
    <row r="16" spans="1:16" x14ac:dyDescent="0.15">
      <c r="A16" s="28" t="s">
        <v>25</v>
      </c>
      <c r="B16" s="14">
        <v>0.39907449606548889</v>
      </c>
      <c r="C16" s="29"/>
      <c r="D16" s="37"/>
      <c r="E16" s="61" t="s">
        <v>30</v>
      </c>
      <c r="F16" s="61">
        <v>3</v>
      </c>
      <c r="G16" s="61">
        <v>0.3061666666666667</v>
      </c>
      <c r="H16" s="61">
        <v>0.39581112818533259</v>
      </c>
      <c r="I16" s="61">
        <v>4.4243825319669459E-4</v>
      </c>
      <c r="J16" s="61">
        <v>1.2942438253196695E-2</v>
      </c>
      <c r="K16" s="61">
        <v>3.2510362844893122E-2</v>
      </c>
      <c r="L16" s="61">
        <v>0.95101036284489326</v>
      </c>
      <c r="M16" s="61">
        <v>46.8</v>
      </c>
      <c r="N16" s="61">
        <v>0.57478321509771035</v>
      </c>
      <c r="O16" s="61">
        <v>47.374783215097708</v>
      </c>
      <c r="P16" s="7"/>
    </row>
    <row r="17" spans="1:16" x14ac:dyDescent="0.15">
      <c r="A17" s="28" t="s">
        <v>6</v>
      </c>
      <c r="B17" s="15">
        <f>(NServers*Util)^NServers*Prob0/(FACT(NServers)*(1-Util))</f>
        <v>2.6632916934842526E-3</v>
      </c>
      <c r="C17" s="29"/>
      <c r="D17" s="37"/>
      <c r="E17" s="61" t="s">
        <v>30</v>
      </c>
      <c r="F17" s="61">
        <v>4</v>
      </c>
      <c r="G17" s="61">
        <v>0.22962500000000002</v>
      </c>
      <c r="H17" s="61">
        <v>0.39872986824552481</v>
      </c>
      <c r="I17" s="61">
        <v>6.2262969597912912E-5</v>
      </c>
      <c r="J17" s="61">
        <v>1.2562262969597913E-2</v>
      </c>
      <c r="K17" s="61">
        <v>4.5750830060546409E-3</v>
      </c>
      <c r="L17" s="61">
        <v>0.92307508300605479</v>
      </c>
      <c r="M17" s="61">
        <v>62.4</v>
      </c>
      <c r="N17" s="61">
        <v>8.0887467547046052E-2</v>
      </c>
      <c r="O17" s="61">
        <v>62.480887467547042</v>
      </c>
      <c r="P17" s="7"/>
    </row>
    <row r="18" spans="1:16" x14ac:dyDescent="0.15">
      <c r="A18" s="28" t="s">
        <v>26</v>
      </c>
      <c r="B18" s="14">
        <f>Lq/ArriveRate</f>
        <v>8.156595900662295E-6</v>
      </c>
      <c r="C18" s="29" t="str">
        <f>Unit&amp;"s"</f>
        <v>hours</v>
      </c>
      <c r="D18" s="37"/>
      <c r="E18" s="61" t="s">
        <v>30</v>
      </c>
      <c r="F18" s="61">
        <v>5</v>
      </c>
      <c r="G18" s="61">
        <v>0.1837</v>
      </c>
      <c r="H18" s="61">
        <v>0.39907449606548889</v>
      </c>
      <c r="I18" s="61">
        <v>8.156595900662295E-6</v>
      </c>
      <c r="J18" s="61">
        <v>1.2508156595900662E-2</v>
      </c>
      <c r="K18" s="61">
        <v>5.9934666678066546E-4</v>
      </c>
      <c r="L18" s="61">
        <v>0.91909934666678073</v>
      </c>
      <c r="M18" s="61">
        <v>78</v>
      </c>
      <c r="N18" s="61">
        <v>1.0596449068682165E-2</v>
      </c>
      <c r="O18" s="61">
        <v>78.010596449068686</v>
      </c>
      <c r="P18" s="7"/>
    </row>
    <row r="19" spans="1:16" x14ac:dyDescent="0.15">
      <c r="A19" s="28" t="s">
        <v>27</v>
      </c>
      <c r="B19" s="14">
        <f>L/ArriveRate</f>
        <v>1.2508156595900662E-2</v>
      </c>
      <c r="C19" s="29" t="str">
        <f>Unit&amp;"s"</f>
        <v>hours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</row>
    <row r="20" spans="1:16" x14ac:dyDescent="0.15">
      <c r="A20" s="28" t="s">
        <v>28</v>
      </c>
      <c r="B20" s="14">
        <f>PWait*Util/(1-Util)</f>
        <v>5.9934666678066546E-4</v>
      </c>
      <c r="C20" s="29" t="s">
        <v>7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</row>
    <row r="21" spans="1:16" x14ac:dyDescent="0.15">
      <c r="A21" s="28" t="s">
        <v>29</v>
      </c>
      <c r="B21" s="14">
        <f>Lq+ArriveRate/ServeRate</f>
        <v>0.91909934666678073</v>
      </c>
      <c r="C21" s="29" t="s">
        <v>7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</row>
    <row r="22" spans="1:16" x14ac:dyDescent="0.15">
      <c r="A22" s="32" t="s">
        <v>12</v>
      </c>
      <c r="B22" s="16"/>
      <c r="C22" s="29"/>
      <c r="E22" s="5"/>
      <c r="G22" s="6"/>
      <c r="H22" s="6"/>
      <c r="I22" s="6"/>
      <c r="J22" s="6"/>
      <c r="K22" s="6"/>
      <c r="L22" s="6"/>
      <c r="M22" s="7"/>
      <c r="N22" s="7"/>
      <c r="O22" s="7"/>
    </row>
    <row r="23" spans="1:16" x14ac:dyDescent="0.15">
      <c r="A23" s="33" t="s">
        <v>35</v>
      </c>
      <c r="B23" s="17">
        <f>ServiceCost1*NServers</f>
        <v>78</v>
      </c>
      <c r="C23" s="29" t="s">
        <v>21</v>
      </c>
      <c r="G23" s="3"/>
    </row>
    <row r="24" spans="1:16" x14ac:dyDescent="0.15">
      <c r="A24" s="33" t="s">
        <v>36</v>
      </c>
      <c r="B24" s="17">
        <f>WaitCost1*Lq</f>
        <v>1.0596449068682165E-2</v>
      </c>
      <c r="C24" s="29" t="s">
        <v>21</v>
      </c>
      <c r="G24" s="3"/>
    </row>
    <row r="25" spans="1:16" ht="14" thickBot="1" x14ac:dyDescent="0.2">
      <c r="A25" s="34" t="s">
        <v>34</v>
      </c>
      <c r="B25" s="35">
        <f>SUM(B23:B24)</f>
        <v>78.010596449068686</v>
      </c>
      <c r="C25" s="31" t="s">
        <v>21</v>
      </c>
      <c r="G25" s="3"/>
    </row>
    <row r="26" spans="1:16" x14ac:dyDescent="0.15">
      <c r="G26" s="3"/>
    </row>
    <row r="27" spans="1:16" x14ac:dyDescent="0.15">
      <c r="G27" s="3"/>
    </row>
    <row r="28" spans="1:16" x14ac:dyDescent="0.15">
      <c r="G28" s="3"/>
    </row>
    <row r="29" spans="1:16" x14ac:dyDescent="0.15">
      <c r="G29" s="3"/>
    </row>
    <row r="30" spans="1:16" x14ac:dyDescent="0.15">
      <c r="G30" s="3"/>
    </row>
    <row r="31" spans="1:16" x14ac:dyDescent="0.15">
      <c r="G31" s="3"/>
    </row>
    <row r="32" spans="1:16" x14ac:dyDescent="0.15">
      <c r="G32" s="3"/>
    </row>
    <row r="33" spans="7:7" x14ac:dyDescent="0.15">
      <c r="G33" s="3"/>
    </row>
    <row r="34" spans="7:7" x14ac:dyDescent="0.15">
      <c r="G34" s="3"/>
    </row>
    <row r="35" spans="7:7" x14ac:dyDescent="0.15">
      <c r="G35" s="3"/>
    </row>
    <row r="36" spans="7:7" x14ac:dyDescent="0.15">
      <c r="G36" s="3"/>
    </row>
    <row r="37" spans="7:7" x14ac:dyDescent="0.15">
      <c r="G37" s="3"/>
    </row>
    <row r="38" spans="7:7" x14ac:dyDescent="0.15">
      <c r="G38" s="3"/>
    </row>
    <row r="39" spans="7:7" x14ac:dyDescent="0.15">
      <c r="G39" s="3"/>
    </row>
    <row r="40" spans="7:7" x14ac:dyDescent="0.15">
      <c r="G40" s="3"/>
    </row>
    <row r="41" spans="7:7" x14ac:dyDescent="0.15">
      <c r="G41" s="3"/>
    </row>
    <row r="42" spans="7:7" x14ac:dyDescent="0.15">
      <c r="G42" s="3"/>
    </row>
    <row r="43" spans="7:7" x14ac:dyDescent="0.15">
      <c r="G43" s="3"/>
    </row>
    <row r="44" spans="7:7" x14ac:dyDescent="0.15">
      <c r="G44" s="3"/>
    </row>
    <row r="45" spans="7:7" x14ac:dyDescent="0.15">
      <c r="G45" s="3"/>
    </row>
    <row r="46" spans="7:7" x14ac:dyDescent="0.15">
      <c r="G46" s="3"/>
    </row>
    <row r="47" spans="7:7" x14ac:dyDescent="0.15">
      <c r="G47" s="3"/>
    </row>
    <row r="48" spans="7:7" x14ac:dyDescent="0.15">
      <c r="G48" s="3"/>
    </row>
    <row r="49" spans="7:7" x14ac:dyDescent="0.15">
      <c r="G49" s="3"/>
    </row>
    <row r="50" spans="7:7" x14ac:dyDescent="0.15">
      <c r="G50" s="3"/>
    </row>
  </sheetData>
  <mergeCells count="2">
    <mergeCell ref="E9:F9"/>
    <mergeCell ref="E13:F13"/>
  </mergeCells>
  <printOptions headings="1" gridLines="1" gridLinesSet="0"/>
  <pageMargins left="0.16" right="0.12" top="0.47" bottom="1" header="0.28999999999999998" footer="0.5"/>
  <pageSetup scale="97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autoFill="0" autoLine="0" autoPict="0" macro="[0]!CalcP0">
                <anchor moveWithCells="1" sizeWithCells="1">
                  <from>
                    <xdr:col>0</xdr:col>
                    <xdr:colOff>1701800</xdr:colOff>
                    <xdr:row>8</xdr:row>
                    <xdr:rowOff>50800</xdr:rowOff>
                  </from>
                  <to>
                    <xdr:col>2</xdr:col>
                    <xdr:colOff>152400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D1DF0-4F98-374A-AC8D-713839C552DA}">
  <sheetPr codeName="Sheet4">
    <pageSetUpPr fitToPage="1"/>
  </sheetPr>
  <dimension ref="A1:P50"/>
  <sheetViews>
    <sheetView zoomScale="140" zoomScaleNormal="140" workbookViewId="0">
      <selection activeCell="M1" sqref="M1:O1"/>
    </sheetView>
  </sheetViews>
  <sheetFormatPr baseColWidth="10" defaultColWidth="8.83203125" defaultRowHeight="13" x14ac:dyDescent="0.15"/>
  <cols>
    <col min="1" max="1" width="27" customWidth="1"/>
    <col min="2" max="2" width="8.83203125" style="5" customWidth="1"/>
    <col min="3" max="3" width="13.33203125" style="5" customWidth="1"/>
    <col min="4" max="4" width="3.5" style="5" customWidth="1"/>
    <col min="5" max="5" width="5.83203125" customWidth="1"/>
    <col min="6" max="6" width="8.5" customWidth="1"/>
    <col min="7" max="7" width="14.33203125" customWidth="1"/>
    <col min="8" max="8" width="6" customWidth="1"/>
    <col min="9" max="9" width="6.5" customWidth="1"/>
    <col min="10" max="10" width="7.6640625" customWidth="1"/>
    <col min="11" max="11" width="6.1640625" customWidth="1"/>
    <col min="12" max="12" width="6.6640625" bestFit="1" customWidth="1"/>
    <col min="13" max="13" width="11.5" bestFit="1" customWidth="1"/>
    <col min="14" max="14" width="10.33203125" customWidth="1"/>
    <col min="15" max="15" width="8" customWidth="1"/>
  </cols>
  <sheetData>
    <row r="1" spans="1:16" ht="14" thickBot="1" x14ac:dyDescent="0.2">
      <c r="A1" s="24" t="s">
        <v>47</v>
      </c>
      <c r="M1" s="70" t="s">
        <v>48</v>
      </c>
      <c r="N1" s="70" t="s">
        <v>49</v>
      </c>
      <c r="O1" s="70" t="s">
        <v>50</v>
      </c>
    </row>
    <row r="2" spans="1:16" x14ac:dyDescent="0.15">
      <c r="A2" s="25" t="s">
        <v>10</v>
      </c>
      <c r="B2" s="26"/>
      <c r="C2" s="27"/>
      <c r="M2" s="71">
        <v>0.06</v>
      </c>
      <c r="N2" s="72">
        <v>15</v>
      </c>
      <c r="O2" s="72">
        <v>17</v>
      </c>
    </row>
    <row r="3" spans="1:16" x14ac:dyDescent="0.15">
      <c r="A3" s="28" t="s">
        <v>1</v>
      </c>
      <c r="B3" s="50" t="s">
        <v>2</v>
      </c>
      <c r="C3" s="29"/>
    </row>
    <row r="4" spans="1:16" x14ac:dyDescent="0.15">
      <c r="A4" s="28" t="s">
        <v>3</v>
      </c>
      <c r="B4" s="51">
        <v>73.48</v>
      </c>
      <c r="C4" s="29" t="str">
        <f>"customers/"&amp;Unit</f>
        <v>customers/hour</v>
      </c>
      <c r="E4" s="2"/>
      <c r="F4" s="54" t="s">
        <v>0</v>
      </c>
      <c r="G4" s="55"/>
      <c r="H4" s="55"/>
      <c r="I4" s="55"/>
      <c r="J4" s="55"/>
    </row>
    <row r="5" spans="1:16" x14ac:dyDescent="0.15">
      <c r="A5" s="28" t="s">
        <v>4</v>
      </c>
      <c r="B5" s="51">
        <v>80</v>
      </c>
      <c r="C5" s="29" t="str">
        <f>"customers/"&amp;Unit</f>
        <v>customers/hour</v>
      </c>
      <c r="E5" s="2"/>
      <c r="F5" s="54" t="s">
        <v>41</v>
      </c>
      <c r="G5" s="55"/>
      <c r="H5" s="55"/>
      <c r="I5" s="55"/>
      <c r="J5" s="55"/>
      <c r="K5" s="22"/>
      <c r="L5" s="19"/>
      <c r="M5" s="19"/>
    </row>
    <row r="6" spans="1:16" x14ac:dyDescent="0.15">
      <c r="A6" s="28" t="s">
        <v>5</v>
      </c>
      <c r="B6" s="50">
        <v>2</v>
      </c>
      <c r="C6" s="29"/>
      <c r="E6" s="2"/>
      <c r="F6" s="54" t="s">
        <v>40</v>
      </c>
      <c r="G6" s="55"/>
      <c r="H6" s="55"/>
      <c r="I6" s="55"/>
      <c r="J6" s="55"/>
      <c r="K6" s="22"/>
      <c r="L6" s="19"/>
      <c r="M6" s="19"/>
    </row>
    <row r="7" spans="1:16" x14ac:dyDescent="0.15">
      <c r="A7" s="28" t="s">
        <v>8</v>
      </c>
      <c r="B7" s="52">
        <f>N2+(N2*M2)</f>
        <v>15.9</v>
      </c>
      <c r="C7" s="29" t="str">
        <f>"$/"&amp;Unit</f>
        <v>$/hour</v>
      </c>
    </row>
    <row r="8" spans="1:16" ht="14" thickBot="1" x14ac:dyDescent="0.2">
      <c r="A8" s="30" t="s">
        <v>9</v>
      </c>
      <c r="B8" s="52">
        <f>O2+(O2*M2)</f>
        <v>18.02</v>
      </c>
      <c r="C8" s="31" t="str">
        <f>"$/"&amp;Unit</f>
        <v>$/hour</v>
      </c>
    </row>
    <row r="9" spans="1:16" ht="14" thickBot="1" x14ac:dyDescent="0.2">
      <c r="E9" s="58"/>
      <c r="F9" s="58"/>
      <c r="G9" s="8"/>
      <c r="I9" s="23" t="s">
        <v>37</v>
      </c>
      <c r="J9" s="9"/>
      <c r="K9" s="9"/>
      <c r="L9" s="9"/>
      <c r="M9" s="20"/>
      <c r="N9" s="18"/>
      <c r="O9" s="9"/>
    </row>
    <row r="10" spans="1:16" ht="28" x14ac:dyDescent="0.15">
      <c r="A10" s="25" t="s">
        <v>11</v>
      </c>
      <c r="B10" s="26"/>
      <c r="C10" s="27"/>
      <c r="D10" s="37"/>
      <c r="E10" s="38" t="s">
        <v>13</v>
      </c>
      <c r="F10" s="39"/>
      <c r="G10" s="40" t="s">
        <v>14</v>
      </c>
      <c r="H10" s="41" t="s">
        <v>24</v>
      </c>
      <c r="I10" s="41" t="s">
        <v>15</v>
      </c>
      <c r="J10" s="41" t="s">
        <v>16</v>
      </c>
      <c r="K10" s="41" t="s">
        <v>17</v>
      </c>
      <c r="L10" s="41" t="s">
        <v>18</v>
      </c>
      <c r="M10" s="42" t="s">
        <v>31</v>
      </c>
      <c r="N10" s="42" t="s">
        <v>32</v>
      </c>
      <c r="O10" s="43" t="s">
        <v>33</v>
      </c>
    </row>
    <row r="11" spans="1:16" ht="14" thickBot="1" x14ac:dyDescent="0.2">
      <c r="A11" s="32" t="s">
        <v>19</v>
      </c>
      <c r="B11" s="12"/>
      <c r="C11" s="29"/>
      <c r="D11" s="37"/>
      <c r="E11" s="44" t="s">
        <v>30</v>
      </c>
      <c r="F11" s="45">
        <f>NServers</f>
        <v>2</v>
      </c>
      <c r="G11" s="46">
        <f>B14</f>
        <v>0.45925000000000005</v>
      </c>
      <c r="H11" s="47">
        <f>Prob0</f>
        <v>0.37056706921501287</v>
      </c>
      <c r="I11" s="46">
        <f>B18</f>
        <v>3.3410433409067956E-3</v>
      </c>
      <c r="J11" s="46">
        <f>B19</f>
        <v>1.5841043340906798E-2</v>
      </c>
      <c r="K11" s="46">
        <f>B20</f>
        <v>0.24549986468983134</v>
      </c>
      <c r="L11" s="46">
        <f>B21</f>
        <v>1.1639998646898315</v>
      </c>
      <c r="M11" s="48">
        <f>B23</f>
        <v>31.8</v>
      </c>
      <c r="N11" s="48">
        <f>B24</f>
        <v>4.4239075617107604</v>
      </c>
      <c r="O11" s="49">
        <f>B25</f>
        <v>36.22390756171076</v>
      </c>
    </row>
    <row r="12" spans="1:16" x14ac:dyDescent="0.15">
      <c r="A12" s="28" t="s">
        <v>22</v>
      </c>
      <c r="B12" s="13">
        <f>1/ArriveRate</f>
        <v>1.3609145345672291E-2</v>
      </c>
      <c r="C12" s="29" t="str">
        <f>Unit&amp;"s"</f>
        <v>hours</v>
      </c>
      <c r="E12" s="2"/>
      <c r="F12" s="11"/>
      <c r="G12" s="10"/>
      <c r="I12" s="2"/>
      <c r="J12" s="2"/>
    </row>
    <row r="13" spans="1:16" ht="14" thickBot="1" x14ac:dyDescent="0.2">
      <c r="A13" s="28" t="s">
        <v>23</v>
      </c>
      <c r="B13" s="13">
        <f>1/ServeRate</f>
        <v>1.2500000000000001E-2</v>
      </c>
      <c r="C13" s="29" t="str">
        <f>Unit&amp;"s"</f>
        <v>hours</v>
      </c>
      <c r="E13" s="69"/>
      <c r="F13" s="69"/>
      <c r="G13" s="63"/>
      <c r="H13" s="22"/>
      <c r="I13" s="23" t="s">
        <v>37</v>
      </c>
      <c r="J13" s="23"/>
      <c r="K13" s="64"/>
      <c r="L13" s="64"/>
      <c r="M13" s="20"/>
      <c r="N13" s="20"/>
      <c r="O13" s="64"/>
      <c r="P13" s="7"/>
    </row>
    <row r="14" spans="1:16" ht="26.5" customHeight="1" x14ac:dyDescent="0.15">
      <c r="A14" s="33" t="s">
        <v>38</v>
      </c>
      <c r="B14" s="13">
        <f>ArriveRate/(NServers*ServeRate)</f>
        <v>0.45925000000000005</v>
      </c>
      <c r="C14" s="29"/>
      <c r="D14" s="37"/>
      <c r="E14" s="38" t="s">
        <v>13</v>
      </c>
      <c r="F14" s="65"/>
      <c r="G14" s="66" t="s">
        <v>14</v>
      </c>
      <c r="H14" s="67" t="s">
        <v>24</v>
      </c>
      <c r="I14" s="67" t="s">
        <v>15</v>
      </c>
      <c r="J14" s="67" t="s">
        <v>16</v>
      </c>
      <c r="K14" s="67" t="s">
        <v>17</v>
      </c>
      <c r="L14" s="67" t="s">
        <v>18</v>
      </c>
      <c r="M14" s="67" t="s">
        <v>31</v>
      </c>
      <c r="N14" s="67" t="s">
        <v>32</v>
      </c>
      <c r="O14" s="68" t="s">
        <v>33</v>
      </c>
      <c r="P14" s="7"/>
    </row>
    <row r="15" spans="1:16" x14ac:dyDescent="0.15">
      <c r="A15" s="32" t="s">
        <v>20</v>
      </c>
      <c r="B15" s="13"/>
      <c r="C15" s="29"/>
      <c r="D15" s="37"/>
      <c r="E15" s="62" t="s">
        <v>30</v>
      </c>
      <c r="F15" s="62">
        <v>2</v>
      </c>
      <c r="G15" s="62">
        <v>0.45925000000000005</v>
      </c>
      <c r="H15" s="62">
        <v>0.37056706921501287</v>
      </c>
      <c r="I15" s="62">
        <v>3.3410433409067956E-3</v>
      </c>
      <c r="J15" s="62">
        <v>1.5841043340906798E-2</v>
      </c>
      <c r="K15" s="62">
        <v>0.24549986468983134</v>
      </c>
      <c r="L15" s="62">
        <v>1.1639998646898315</v>
      </c>
      <c r="M15" s="62">
        <v>31.8</v>
      </c>
      <c r="N15" s="62">
        <v>4.4239075617107604</v>
      </c>
      <c r="O15" s="62">
        <v>36.22390756171076</v>
      </c>
      <c r="P15" s="7"/>
    </row>
    <row r="16" spans="1:16" x14ac:dyDescent="0.15">
      <c r="A16" s="28" t="s">
        <v>25</v>
      </c>
      <c r="B16" s="14">
        <v>0.37056706921501287</v>
      </c>
      <c r="C16" s="29"/>
      <c r="D16" s="37"/>
      <c r="E16" s="61" t="s">
        <v>30</v>
      </c>
      <c r="F16" s="61">
        <v>3</v>
      </c>
      <c r="G16" s="61">
        <v>0.3061666666666667</v>
      </c>
      <c r="H16" s="61">
        <v>0.39581112818533259</v>
      </c>
      <c r="I16" s="61">
        <v>4.4243825319669459E-4</v>
      </c>
      <c r="J16" s="61">
        <v>1.2942438253196695E-2</v>
      </c>
      <c r="K16" s="61">
        <v>3.2510362844893122E-2</v>
      </c>
      <c r="L16" s="61">
        <v>0.95101036284489326</v>
      </c>
      <c r="M16" s="61">
        <v>47.7</v>
      </c>
      <c r="N16" s="61">
        <v>0.58583673846497408</v>
      </c>
      <c r="O16" s="61">
        <v>48.28583673846498</v>
      </c>
      <c r="P16" s="7"/>
    </row>
    <row r="17" spans="1:16" x14ac:dyDescent="0.15">
      <c r="A17" s="28" t="s">
        <v>6</v>
      </c>
      <c r="B17" s="15">
        <f>(NServers*Util)^NServers*Prob0/(FACT(NServers)*(1-Util))</f>
        <v>0.28906706985525593</v>
      </c>
      <c r="C17" s="29"/>
      <c r="D17" s="37"/>
      <c r="E17" s="61" t="s">
        <v>30</v>
      </c>
      <c r="F17" s="61">
        <v>4</v>
      </c>
      <c r="G17" s="61">
        <v>0.22962500000000002</v>
      </c>
      <c r="H17" s="61">
        <v>0.39872986824552481</v>
      </c>
      <c r="I17" s="61">
        <v>6.2262969597912912E-5</v>
      </c>
      <c r="J17" s="61">
        <v>1.2562262969597913E-2</v>
      </c>
      <c r="K17" s="61">
        <v>4.5750830060546409E-3</v>
      </c>
      <c r="L17" s="61">
        <v>0.92307508300605479</v>
      </c>
      <c r="M17" s="61">
        <v>63.6</v>
      </c>
      <c r="N17" s="61">
        <v>8.2442995769104632E-2</v>
      </c>
      <c r="O17" s="61">
        <v>63.682442995769108</v>
      </c>
      <c r="P17" s="7"/>
    </row>
    <row r="18" spans="1:16" x14ac:dyDescent="0.15">
      <c r="A18" s="28" t="s">
        <v>26</v>
      </c>
      <c r="B18" s="14">
        <f>Lq/ArriveRate</f>
        <v>3.3410433409067956E-3</v>
      </c>
      <c r="C18" s="29" t="str">
        <f>Unit&amp;"s"</f>
        <v>hours</v>
      </c>
      <c r="D18" s="37"/>
      <c r="E18" s="61" t="s">
        <v>30</v>
      </c>
      <c r="F18" s="61">
        <v>5</v>
      </c>
      <c r="G18" s="61">
        <v>0.1837</v>
      </c>
      <c r="H18" s="61">
        <v>0.39907449606548889</v>
      </c>
      <c r="I18" s="61">
        <v>8.156595900662295E-6</v>
      </c>
      <c r="J18" s="61">
        <v>1.2508156595900662E-2</v>
      </c>
      <c r="K18" s="61">
        <v>5.9934666678066546E-4</v>
      </c>
      <c r="L18" s="61">
        <v>0.91909934666678073</v>
      </c>
      <c r="M18" s="61">
        <v>79.5</v>
      </c>
      <c r="N18" s="61">
        <v>1.0800226935387592E-2</v>
      </c>
      <c r="O18" s="61">
        <v>79.510800226935388</v>
      </c>
      <c r="P18" s="7"/>
    </row>
    <row r="19" spans="1:16" x14ac:dyDescent="0.15">
      <c r="A19" s="28" t="s">
        <v>27</v>
      </c>
      <c r="B19" s="14">
        <f>L/ArriveRate</f>
        <v>1.5841043340906798E-2</v>
      </c>
      <c r="C19" s="29" t="str">
        <f>Unit&amp;"s"</f>
        <v>hours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</row>
    <row r="20" spans="1:16" x14ac:dyDescent="0.15">
      <c r="A20" s="28" t="s">
        <v>28</v>
      </c>
      <c r="B20" s="14">
        <f>PWait*Util/(1-Util)</f>
        <v>0.24549986468983134</v>
      </c>
      <c r="C20" s="29" t="s">
        <v>7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</row>
    <row r="21" spans="1:16" x14ac:dyDescent="0.15">
      <c r="A21" s="28" t="s">
        <v>29</v>
      </c>
      <c r="B21" s="14">
        <f>Lq+ArriveRate/ServeRate</f>
        <v>1.1639998646898315</v>
      </c>
      <c r="C21" s="29" t="s">
        <v>7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</row>
    <row r="22" spans="1:16" x14ac:dyDescent="0.15">
      <c r="A22" s="32" t="s">
        <v>12</v>
      </c>
      <c r="B22" s="16"/>
      <c r="C22" s="29"/>
      <c r="E22" s="5"/>
      <c r="G22" s="6"/>
      <c r="H22" s="6"/>
      <c r="I22" s="6"/>
      <c r="J22" s="6"/>
      <c r="K22" s="6"/>
      <c r="L22" s="6"/>
      <c r="M22" s="7"/>
      <c r="N22" s="7"/>
      <c r="O22" s="7"/>
    </row>
    <row r="23" spans="1:16" x14ac:dyDescent="0.15">
      <c r="A23" s="33" t="s">
        <v>35</v>
      </c>
      <c r="B23" s="17">
        <f>ServiceCost1*NServers</f>
        <v>31.8</v>
      </c>
      <c r="C23" s="29" t="s">
        <v>21</v>
      </c>
      <c r="G23" s="3"/>
    </row>
    <row r="24" spans="1:16" x14ac:dyDescent="0.15">
      <c r="A24" s="33" t="s">
        <v>36</v>
      </c>
      <c r="B24" s="17">
        <f>WaitCost1*Lq</f>
        <v>4.4239075617107604</v>
      </c>
      <c r="C24" s="29" t="s">
        <v>21</v>
      </c>
      <c r="G24" s="3"/>
    </row>
    <row r="25" spans="1:16" ht="14" thickBot="1" x14ac:dyDescent="0.2">
      <c r="A25" s="34" t="s">
        <v>34</v>
      </c>
      <c r="B25" s="35">
        <f>SUM(B23:B24)</f>
        <v>36.22390756171076</v>
      </c>
      <c r="C25" s="31" t="s">
        <v>21</v>
      </c>
      <c r="G25" s="3"/>
    </row>
    <row r="26" spans="1:16" x14ac:dyDescent="0.15">
      <c r="G26" s="3"/>
    </row>
    <row r="27" spans="1:16" x14ac:dyDescent="0.15">
      <c r="G27" s="3"/>
    </row>
    <row r="28" spans="1:16" x14ac:dyDescent="0.15">
      <c r="G28" s="3"/>
    </row>
    <row r="29" spans="1:16" x14ac:dyDescent="0.15">
      <c r="G29" s="3"/>
    </row>
    <row r="30" spans="1:16" x14ac:dyDescent="0.15">
      <c r="G30" s="3"/>
    </row>
    <row r="31" spans="1:16" x14ac:dyDescent="0.15">
      <c r="G31" s="3"/>
    </row>
    <row r="32" spans="1:16" x14ac:dyDescent="0.15">
      <c r="G32" s="3"/>
    </row>
    <row r="33" spans="7:7" x14ac:dyDescent="0.15">
      <c r="G33" s="3"/>
    </row>
    <row r="34" spans="7:7" x14ac:dyDescent="0.15">
      <c r="G34" s="3"/>
    </row>
    <row r="35" spans="7:7" x14ac:dyDescent="0.15">
      <c r="G35" s="3"/>
    </row>
    <row r="36" spans="7:7" x14ac:dyDescent="0.15">
      <c r="G36" s="3"/>
    </row>
    <row r="37" spans="7:7" x14ac:dyDescent="0.15">
      <c r="G37" s="3"/>
    </row>
    <row r="38" spans="7:7" x14ac:dyDescent="0.15">
      <c r="G38" s="3"/>
    </row>
    <row r="39" spans="7:7" x14ac:dyDescent="0.15">
      <c r="G39" s="3"/>
    </row>
    <row r="40" spans="7:7" x14ac:dyDescent="0.15">
      <c r="G40" s="3"/>
    </row>
    <row r="41" spans="7:7" x14ac:dyDescent="0.15">
      <c r="G41" s="3"/>
    </row>
    <row r="42" spans="7:7" x14ac:dyDescent="0.15">
      <c r="G42" s="3"/>
    </row>
    <row r="43" spans="7:7" x14ac:dyDescent="0.15">
      <c r="G43" s="3"/>
    </row>
    <row r="44" spans="7:7" x14ac:dyDescent="0.15">
      <c r="G44" s="3"/>
    </row>
    <row r="45" spans="7:7" x14ac:dyDescent="0.15">
      <c r="G45" s="3"/>
    </row>
    <row r="46" spans="7:7" x14ac:dyDescent="0.15">
      <c r="G46" s="3"/>
    </row>
    <row r="47" spans="7:7" x14ac:dyDescent="0.15">
      <c r="G47" s="3"/>
    </row>
    <row r="48" spans="7:7" x14ac:dyDescent="0.15">
      <c r="G48" s="3"/>
    </row>
    <row r="49" spans="7:7" x14ac:dyDescent="0.15">
      <c r="G49" s="3"/>
    </row>
    <row r="50" spans="7:7" x14ac:dyDescent="0.15">
      <c r="G50" s="3"/>
    </row>
  </sheetData>
  <mergeCells count="2">
    <mergeCell ref="E9:F9"/>
    <mergeCell ref="E13:F13"/>
  </mergeCells>
  <printOptions headings="1" gridLines="1" gridLinesSet="0"/>
  <pageMargins left="0.16" right="0.12" top="0.47" bottom="1" header="0.28999999999999998" footer="0.5"/>
  <pageSetup scale="97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autoFill="0" autoLine="0" autoPict="0" macro="[0]!CalcP0">
                <anchor moveWithCells="1" sizeWithCells="1">
                  <from>
                    <xdr:col>0</xdr:col>
                    <xdr:colOff>1701800</xdr:colOff>
                    <xdr:row>8</xdr:row>
                    <xdr:rowOff>50800</xdr:rowOff>
                  </from>
                  <to>
                    <xdr:col>2</xdr:col>
                    <xdr:colOff>152400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82752-EEC5-BB4A-81CF-1024D977C372}">
  <sheetPr codeName="Sheet5">
    <pageSetUpPr fitToPage="1"/>
  </sheetPr>
  <dimension ref="A1:P50"/>
  <sheetViews>
    <sheetView tabSelected="1" zoomScale="140" zoomScaleNormal="140" workbookViewId="0">
      <selection activeCell="Q1" sqref="Q1"/>
    </sheetView>
  </sheetViews>
  <sheetFormatPr baseColWidth="10" defaultColWidth="8.83203125" defaultRowHeight="13" x14ac:dyDescent="0.15"/>
  <cols>
    <col min="1" max="1" width="27" customWidth="1"/>
    <col min="2" max="2" width="8.83203125" style="5" customWidth="1"/>
    <col min="3" max="3" width="13.33203125" style="5" customWidth="1"/>
    <col min="4" max="4" width="3.5" style="5" customWidth="1"/>
    <col min="5" max="5" width="5.83203125" customWidth="1"/>
    <col min="6" max="6" width="8.5" customWidth="1"/>
    <col min="7" max="7" width="14.33203125" customWidth="1"/>
    <col min="8" max="8" width="6" customWidth="1"/>
    <col min="9" max="9" width="6.5" customWidth="1"/>
    <col min="10" max="10" width="7.6640625" customWidth="1"/>
    <col min="11" max="11" width="6.1640625" customWidth="1"/>
    <col min="12" max="12" width="6.6640625" bestFit="1" customWidth="1"/>
    <col min="13" max="13" width="11.5" bestFit="1" customWidth="1"/>
    <col min="14" max="14" width="10.33203125" customWidth="1"/>
    <col min="15" max="15" width="8" customWidth="1"/>
  </cols>
  <sheetData>
    <row r="1" spans="1:16" ht="14" thickBot="1" x14ac:dyDescent="0.2">
      <c r="A1" s="24" t="s">
        <v>47</v>
      </c>
      <c r="M1" s="70" t="s">
        <v>48</v>
      </c>
      <c r="N1" s="70" t="s">
        <v>49</v>
      </c>
      <c r="O1" s="70" t="s">
        <v>50</v>
      </c>
    </row>
    <row r="2" spans="1:16" x14ac:dyDescent="0.15">
      <c r="A2" s="25" t="s">
        <v>10</v>
      </c>
      <c r="B2" s="26"/>
      <c r="C2" s="27"/>
      <c r="M2" s="71">
        <v>0.08</v>
      </c>
      <c r="N2" s="72">
        <v>15</v>
      </c>
      <c r="O2" s="72">
        <v>17</v>
      </c>
    </row>
    <row r="3" spans="1:16" x14ac:dyDescent="0.15">
      <c r="A3" s="28" t="s">
        <v>1</v>
      </c>
      <c r="B3" s="50" t="s">
        <v>2</v>
      </c>
      <c r="C3" s="29"/>
    </row>
    <row r="4" spans="1:16" x14ac:dyDescent="0.15">
      <c r="A4" s="28" t="s">
        <v>3</v>
      </c>
      <c r="B4" s="51">
        <v>73.48</v>
      </c>
      <c r="C4" s="29" t="str">
        <f>"customers/"&amp;Unit</f>
        <v>customers/hour</v>
      </c>
      <c r="E4" s="2"/>
      <c r="F4" s="54" t="s">
        <v>0</v>
      </c>
      <c r="G4" s="55"/>
      <c r="H4" s="55"/>
      <c r="I4" s="55"/>
      <c r="J4" s="55"/>
    </row>
    <row r="5" spans="1:16" x14ac:dyDescent="0.15">
      <c r="A5" s="28" t="s">
        <v>4</v>
      </c>
      <c r="B5" s="51">
        <v>80</v>
      </c>
      <c r="C5" s="29" t="str">
        <f>"customers/"&amp;Unit</f>
        <v>customers/hour</v>
      </c>
      <c r="E5" s="2"/>
      <c r="F5" s="54" t="s">
        <v>41</v>
      </c>
      <c r="G5" s="55"/>
      <c r="H5" s="55"/>
      <c r="I5" s="55"/>
      <c r="J5" s="55"/>
      <c r="K5" s="22"/>
      <c r="L5" s="19"/>
      <c r="M5" s="19"/>
    </row>
    <row r="6" spans="1:16" x14ac:dyDescent="0.15">
      <c r="A6" s="28" t="s">
        <v>5</v>
      </c>
      <c r="B6" s="50">
        <v>5</v>
      </c>
      <c r="C6" s="29"/>
      <c r="E6" s="2"/>
      <c r="F6" s="54" t="s">
        <v>40</v>
      </c>
      <c r="G6" s="55"/>
      <c r="H6" s="55"/>
      <c r="I6" s="55"/>
      <c r="J6" s="55"/>
      <c r="K6" s="22"/>
      <c r="L6" s="19"/>
      <c r="M6" s="19"/>
    </row>
    <row r="7" spans="1:16" x14ac:dyDescent="0.15">
      <c r="A7" s="28" t="s">
        <v>8</v>
      </c>
      <c r="B7" s="52">
        <f>N2+(N2*M2)</f>
        <v>16.2</v>
      </c>
      <c r="C7" s="29" t="str">
        <f>"$/"&amp;Unit</f>
        <v>$/hour</v>
      </c>
    </row>
    <row r="8" spans="1:16" ht="14" thickBot="1" x14ac:dyDescent="0.2">
      <c r="A8" s="30" t="s">
        <v>9</v>
      </c>
      <c r="B8" s="52">
        <f>O2+(O2*M2)</f>
        <v>18.36</v>
      </c>
      <c r="C8" s="31" t="str">
        <f>"$/"&amp;Unit</f>
        <v>$/hour</v>
      </c>
    </row>
    <row r="9" spans="1:16" ht="14" thickBot="1" x14ac:dyDescent="0.2">
      <c r="E9" s="58"/>
      <c r="F9" s="58"/>
      <c r="G9" s="8"/>
      <c r="I9" s="23" t="s">
        <v>37</v>
      </c>
      <c r="J9" s="9"/>
      <c r="K9" s="9"/>
      <c r="L9" s="9"/>
      <c r="M9" s="20"/>
      <c r="N9" s="18"/>
      <c r="O9" s="9"/>
    </row>
    <row r="10" spans="1:16" ht="28" x14ac:dyDescent="0.15">
      <c r="A10" s="25" t="s">
        <v>11</v>
      </c>
      <c r="B10" s="26"/>
      <c r="C10" s="27"/>
      <c r="D10" s="37"/>
      <c r="E10" s="38" t="s">
        <v>13</v>
      </c>
      <c r="F10" s="39"/>
      <c r="G10" s="40" t="s">
        <v>14</v>
      </c>
      <c r="H10" s="41" t="s">
        <v>24</v>
      </c>
      <c r="I10" s="41" t="s">
        <v>15</v>
      </c>
      <c r="J10" s="41" t="s">
        <v>16</v>
      </c>
      <c r="K10" s="41" t="s">
        <v>17</v>
      </c>
      <c r="L10" s="41" t="s">
        <v>18</v>
      </c>
      <c r="M10" s="42" t="s">
        <v>31</v>
      </c>
      <c r="N10" s="42" t="s">
        <v>32</v>
      </c>
      <c r="O10" s="43" t="s">
        <v>33</v>
      </c>
    </row>
    <row r="11" spans="1:16" ht="14" thickBot="1" x14ac:dyDescent="0.2">
      <c r="A11" s="32" t="s">
        <v>19</v>
      </c>
      <c r="B11" s="12"/>
      <c r="C11" s="29"/>
      <c r="D11" s="37"/>
      <c r="E11" s="44" t="s">
        <v>30</v>
      </c>
      <c r="F11" s="45">
        <f>NServers</f>
        <v>5</v>
      </c>
      <c r="G11" s="46">
        <f>B14</f>
        <v>0.1837</v>
      </c>
      <c r="H11" s="47">
        <f>Prob0</f>
        <v>0.39907449606548889</v>
      </c>
      <c r="I11" s="46">
        <f>B18</f>
        <v>8.156595900662295E-6</v>
      </c>
      <c r="J11" s="46">
        <f>B19</f>
        <v>1.2508156595900662E-2</v>
      </c>
      <c r="K11" s="46">
        <f>B20</f>
        <v>5.9934666678066546E-4</v>
      </c>
      <c r="L11" s="46">
        <f>B21</f>
        <v>0.91909934666678073</v>
      </c>
      <c r="M11" s="48">
        <f>B23</f>
        <v>81</v>
      </c>
      <c r="N11" s="48">
        <f>B24</f>
        <v>1.1004004802093018E-2</v>
      </c>
      <c r="O11" s="49">
        <f>B25</f>
        <v>81.011004004802089</v>
      </c>
    </row>
    <row r="12" spans="1:16" x14ac:dyDescent="0.15">
      <c r="A12" s="28" t="s">
        <v>22</v>
      </c>
      <c r="B12" s="13">
        <f>1/ArriveRate</f>
        <v>1.3609145345672291E-2</v>
      </c>
      <c r="C12" s="29" t="str">
        <f>Unit&amp;"s"</f>
        <v>hours</v>
      </c>
      <c r="E12" s="2"/>
      <c r="F12" s="11"/>
      <c r="G12" s="10"/>
      <c r="I12" s="2"/>
      <c r="J12" s="2"/>
    </row>
    <row r="13" spans="1:16" ht="14" thickBot="1" x14ac:dyDescent="0.2">
      <c r="A13" s="28" t="s">
        <v>23</v>
      </c>
      <c r="B13" s="13">
        <f>1/ServeRate</f>
        <v>1.2500000000000001E-2</v>
      </c>
      <c r="C13" s="29" t="str">
        <f>Unit&amp;"s"</f>
        <v>hours</v>
      </c>
      <c r="E13" s="69"/>
      <c r="F13" s="69"/>
      <c r="G13" s="63"/>
      <c r="H13" s="22"/>
      <c r="I13" s="23" t="s">
        <v>37</v>
      </c>
      <c r="J13" s="23"/>
      <c r="K13" s="64"/>
      <c r="L13" s="64"/>
      <c r="M13" s="20"/>
      <c r="N13" s="20"/>
      <c r="O13" s="64"/>
      <c r="P13" s="7"/>
    </row>
    <row r="14" spans="1:16" ht="26.5" customHeight="1" x14ac:dyDescent="0.15">
      <c r="A14" s="33" t="s">
        <v>38</v>
      </c>
      <c r="B14" s="13">
        <f>ArriveRate/(NServers*ServeRate)</f>
        <v>0.1837</v>
      </c>
      <c r="C14" s="29"/>
      <c r="D14" s="37"/>
      <c r="E14" s="38" t="s">
        <v>13</v>
      </c>
      <c r="F14" s="65"/>
      <c r="G14" s="66" t="s">
        <v>14</v>
      </c>
      <c r="H14" s="67" t="s">
        <v>24</v>
      </c>
      <c r="I14" s="67" t="s">
        <v>15</v>
      </c>
      <c r="J14" s="67" t="s">
        <v>16</v>
      </c>
      <c r="K14" s="67" t="s">
        <v>17</v>
      </c>
      <c r="L14" s="67" t="s">
        <v>18</v>
      </c>
      <c r="M14" s="67" t="s">
        <v>31</v>
      </c>
      <c r="N14" s="67" t="s">
        <v>32</v>
      </c>
      <c r="O14" s="68" t="s">
        <v>33</v>
      </c>
      <c r="P14" s="7"/>
    </row>
    <row r="15" spans="1:16" x14ac:dyDescent="0.15">
      <c r="A15" s="32" t="s">
        <v>20</v>
      </c>
      <c r="B15" s="13"/>
      <c r="C15" s="29"/>
      <c r="D15" s="37"/>
      <c r="E15" s="62" t="s">
        <v>30</v>
      </c>
      <c r="F15" s="62">
        <v>2</v>
      </c>
      <c r="G15" s="62">
        <v>0.45925000000000005</v>
      </c>
      <c r="H15" s="62">
        <v>0.37056706921501287</v>
      </c>
      <c r="I15" s="62">
        <v>3.3410433409067956E-3</v>
      </c>
      <c r="J15" s="62">
        <v>1.5841043340906798E-2</v>
      </c>
      <c r="K15" s="62">
        <v>0.24549986468983134</v>
      </c>
      <c r="L15" s="62">
        <v>1.1639998646898315</v>
      </c>
      <c r="M15" s="62">
        <v>32.4</v>
      </c>
      <c r="N15" s="62">
        <v>4.5073775157053033</v>
      </c>
      <c r="O15" s="62">
        <v>36.907377515705299</v>
      </c>
      <c r="P15" s="7"/>
    </row>
    <row r="16" spans="1:16" x14ac:dyDescent="0.15">
      <c r="A16" s="28" t="s">
        <v>25</v>
      </c>
      <c r="B16" s="14">
        <v>0.39907449606548889</v>
      </c>
      <c r="C16" s="29"/>
      <c r="D16" s="37"/>
      <c r="E16" s="61" t="s">
        <v>30</v>
      </c>
      <c r="F16" s="61">
        <v>3</v>
      </c>
      <c r="G16" s="61">
        <v>0.3061666666666667</v>
      </c>
      <c r="H16" s="61">
        <v>0.39581112818533259</v>
      </c>
      <c r="I16" s="61">
        <v>4.4243825319669459E-4</v>
      </c>
      <c r="J16" s="61">
        <v>1.2942438253196695E-2</v>
      </c>
      <c r="K16" s="61">
        <v>3.2510362844893122E-2</v>
      </c>
      <c r="L16" s="61">
        <v>0.95101036284489326</v>
      </c>
      <c r="M16" s="61">
        <v>48.599999999999994</v>
      </c>
      <c r="N16" s="61">
        <v>0.5968902618322377</v>
      </c>
      <c r="O16" s="61">
        <v>49.19689026183223</v>
      </c>
      <c r="P16" s="7"/>
    </row>
    <row r="17" spans="1:16" x14ac:dyDescent="0.15">
      <c r="A17" s="28" t="s">
        <v>6</v>
      </c>
      <c r="B17" s="15">
        <f>(NServers*Util)^NServers*Prob0/(FACT(NServers)*(1-Util))</f>
        <v>2.6632916934842526E-3</v>
      </c>
      <c r="C17" s="29"/>
      <c r="D17" s="37"/>
      <c r="E17" s="61" t="s">
        <v>30</v>
      </c>
      <c r="F17" s="61">
        <v>4</v>
      </c>
      <c r="G17" s="61">
        <v>0.22962500000000002</v>
      </c>
      <c r="H17" s="61">
        <v>0.39872986824552481</v>
      </c>
      <c r="I17" s="61">
        <v>6.2262969597912912E-5</v>
      </c>
      <c r="J17" s="61">
        <v>1.2562262969597913E-2</v>
      </c>
      <c r="K17" s="61">
        <v>4.5750830060546409E-3</v>
      </c>
      <c r="L17" s="61">
        <v>0.92307508300605479</v>
      </c>
      <c r="M17" s="61">
        <v>64.8</v>
      </c>
      <c r="N17" s="61">
        <v>8.3998523991163199E-2</v>
      </c>
      <c r="O17" s="61">
        <v>64.883998523991167</v>
      </c>
      <c r="P17" s="7"/>
    </row>
    <row r="18" spans="1:16" x14ac:dyDescent="0.15">
      <c r="A18" s="28" t="s">
        <v>26</v>
      </c>
      <c r="B18" s="14">
        <f>Lq/ArriveRate</f>
        <v>8.156595900662295E-6</v>
      </c>
      <c r="C18" s="29" t="str">
        <f>Unit&amp;"s"</f>
        <v>hours</v>
      </c>
      <c r="D18" s="37"/>
      <c r="E18" s="61" t="s">
        <v>30</v>
      </c>
      <c r="F18" s="61">
        <v>5</v>
      </c>
      <c r="G18" s="61">
        <v>0.1837</v>
      </c>
      <c r="H18" s="61">
        <v>0.39907449606548889</v>
      </c>
      <c r="I18" s="61">
        <v>8.156595900662295E-6</v>
      </c>
      <c r="J18" s="61">
        <v>1.2508156595900662E-2</v>
      </c>
      <c r="K18" s="61">
        <v>5.9934666678066546E-4</v>
      </c>
      <c r="L18" s="61">
        <v>0.91909934666678073</v>
      </c>
      <c r="M18" s="61">
        <v>81</v>
      </c>
      <c r="N18" s="61">
        <v>1.1004004802093018E-2</v>
      </c>
      <c r="O18" s="61">
        <v>81.011004004802089</v>
      </c>
      <c r="P18" s="7"/>
    </row>
    <row r="19" spans="1:16" x14ac:dyDescent="0.15">
      <c r="A19" s="28" t="s">
        <v>27</v>
      </c>
      <c r="B19" s="14">
        <f>L/ArriveRate</f>
        <v>1.2508156595900662E-2</v>
      </c>
      <c r="C19" s="29" t="str">
        <f>Unit&amp;"s"</f>
        <v>hours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</row>
    <row r="20" spans="1:16" x14ac:dyDescent="0.15">
      <c r="A20" s="28" t="s">
        <v>28</v>
      </c>
      <c r="B20" s="14">
        <f>PWait*Util/(1-Util)</f>
        <v>5.9934666678066546E-4</v>
      </c>
      <c r="C20" s="29" t="s">
        <v>7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</row>
    <row r="21" spans="1:16" x14ac:dyDescent="0.15">
      <c r="A21" s="28" t="s">
        <v>29</v>
      </c>
      <c r="B21" s="14">
        <f>Lq+ArriveRate/ServeRate</f>
        <v>0.91909934666678073</v>
      </c>
      <c r="C21" s="29" t="s">
        <v>7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</row>
    <row r="22" spans="1:16" x14ac:dyDescent="0.15">
      <c r="A22" s="32" t="s">
        <v>12</v>
      </c>
      <c r="B22" s="16"/>
      <c r="C22" s="29"/>
      <c r="E22" s="5"/>
      <c r="G22" s="6"/>
      <c r="H22" s="6"/>
      <c r="I22" s="6"/>
      <c r="J22" s="6"/>
      <c r="K22" s="6"/>
      <c r="L22" s="6"/>
      <c r="M22" s="7"/>
      <c r="N22" s="7"/>
      <c r="O22" s="7"/>
    </row>
    <row r="23" spans="1:16" x14ac:dyDescent="0.15">
      <c r="A23" s="33" t="s">
        <v>35</v>
      </c>
      <c r="B23" s="17">
        <f>ServiceCost1*NServers</f>
        <v>81</v>
      </c>
      <c r="C23" s="29" t="s">
        <v>21</v>
      </c>
      <c r="G23" s="3"/>
    </row>
    <row r="24" spans="1:16" x14ac:dyDescent="0.15">
      <c r="A24" s="33" t="s">
        <v>36</v>
      </c>
      <c r="B24" s="17">
        <f>WaitCost1*Lq</f>
        <v>1.1004004802093018E-2</v>
      </c>
      <c r="C24" s="29" t="s">
        <v>21</v>
      </c>
      <c r="G24" s="3"/>
    </row>
    <row r="25" spans="1:16" ht="14" thickBot="1" x14ac:dyDescent="0.2">
      <c r="A25" s="34" t="s">
        <v>34</v>
      </c>
      <c r="B25" s="35">
        <f>SUM(B23:B24)</f>
        <v>81.011004004802089</v>
      </c>
      <c r="C25" s="31" t="s">
        <v>21</v>
      </c>
      <c r="G25" s="3"/>
    </row>
    <row r="26" spans="1:16" x14ac:dyDescent="0.15">
      <c r="G26" s="3"/>
    </row>
    <row r="27" spans="1:16" x14ac:dyDescent="0.15">
      <c r="G27" s="3"/>
    </row>
    <row r="28" spans="1:16" x14ac:dyDescent="0.15">
      <c r="G28" s="3"/>
    </row>
    <row r="29" spans="1:16" x14ac:dyDescent="0.15">
      <c r="G29" s="3"/>
    </row>
    <row r="30" spans="1:16" x14ac:dyDescent="0.15">
      <c r="G30" s="3"/>
    </row>
    <row r="31" spans="1:16" x14ac:dyDescent="0.15">
      <c r="G31" s="3"/>
    </row>
    <row r="32" spans="1:16" x14ac:dyDescent="0.15">
      <c r="G32" s="3"/>
    </row>
    <row r="33" spans="7:7" x14ac:dyDescent="0.15">
      <c r="G33" s="3"/>
    </row>
    <row r="34" spans="7:7" x14ac:dyDescent="0.15">
      <c r="G34" s="3"/>
    </row>
    <row r="35" spans="7:7" x14ac:dyDescent="0.15">
      <c r="G35" s="3"/>
    </row>
    <row r="36" spans="7:7" x14ac:dyDescent="0.15">
      <c r="G36" s="3"/>
    </row>
    <row r="37" spans="7:7" x14ac:dyDescent="0.15">
      <c r="G37" s="3"/>
    </row>
    <row r="38" spans="7:7" x14ac:dyDescent="0.15">
      <c r="G38" s="3"/>
    </row>
    <row r="39" spans="7:7" x14ac:dyDescent="0.15">
      <c r="G39" s="3"/>
    </row>
    <row r="40" spans="7:7" x14ac:dyDescent="0.15">
      <c r="G40" s="3"/>
    </row>
    <row r="41" spans="7:7" x14ac:dyDescent="0.15">
      <c r="G41" s="3"/>
    </row>
    <row r="42" spans="7:7" x14ac:dyDescent="0.15">
      <c r="G42" s="3"/>
    </row>
    <row r="43" spans="7:7" x14ac:dyDescent="0.15">
      <c r="G43" s="3"/>
    </row>
    <row r="44" spans="7:7" x14ac:dyDescent="0.15">
      <c r="G44" s="3"/>
    </row>
    <row r="45" spans="7:7" x14ac:dyDescent="0.15">
      <c r="G45" s="3"/>
    </row>
    <row r="46" spans="7:7" x14ac:dyDescent="0.15">
      <c r="G46" s="3"/>
    </row>
    <row r="47" spans="7:7" x14ac:dyDescent="0.15">
      <c r="G47" s="3"/>
    </row>
    <row r="48" spans="7:7" x14ac:dyDescent="0.15">
      <c r="G48" s="3"/>
    </row>
    <row r="49" spans="7:7" x14ac:dyDescent="0.15">
      <c r="G49" s="3"/>
    </row>
    <row r="50" spans="7:7" x14ac:dyDescent="0.15">
      <c r="G50" s="3"/>
    </row>
  </sheetData>
  <mergeCells count="2">
    <mergeCell ref="E9:F9"/>
    <mergeCell ref="E13:F13"/>
  </mergeCells>
  <printOptions headings="1" gridLines="1" gridLinesSet="0"/>
  <pageMargins left="0.16" right="0.12" top="0.47" bottom="1" header="0.28999999999999998" footer="0.5"/>
  <pageSetup scale="97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autoFill="0" autoLine="0" autoPict="0" macro="[0]!CalcP0">
                <anchor moveWithCells="1" sizeWithCells="1">
                  <from>
                    <xdr:col>0</xdr:col>
                    <xdr:colOff>1701800</xdr:colOff>
                    <xdr:row>8</xdr:row>
                    <xdr:rowOff>50800</xdr:rowOff>
                  </from>
                  <to>
                    <xdr:col>2</xdr:col>
                    <xdr:colOff>152400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65</vt:i4>
      </vt:variant>
    </vt:vector>
  </HeadingPairs>
  <TitlesOfParts>
    <vt:vector size="71" baseType="lpstr">
      <vt:lpstr>MMs</vt:lpstr>
      <vt:lpstr>ATM_MMs2</vt:lpstr>
      <vt:lpstr>Summary</vt:lpstr>
      <vt:lpstr>What-If Analysis</vt:lpstr>
      <vt:lpstr>What-If Analysis (2)</vt:lpstr>
      <vt:lpstr>What-If Analysis (3)</vt:lpstr>
      <vt:lpstr>ATM_MMs2!ArriveRate</vt:lpstr>
      <vt:lpstr>'What-If Analysis'!ArriveRate</vt:lpstr>
      <vt:lpstr>'What-If Analysis (2)'!ArriveRate</vt:lpstr>
      <vt:lpstr>'What-If Analysis (3)'!ArriveRate</vt:lpstr>
      <vt:lpstr>ArriveRate</vt:lpstr>
      <vt:lpstr>ATM_MMs2!L</vt:lpstr>
      <vt:lpstr>'What-If Analysis'!L</vt:lpstr>
      <vt:lpstr>'What-If Analysis (2)'!L</vt:lpstr>
      <vt:lpstr>'What-If Analysis (3)'!L</vt:lpstr>
      <vt:lpstr>L</vt:lpstr>
      <vt:lpstr>ATM_MMs2!Lq</vt:lpstr>
      <vt:lpstr>'What-If Analysis'!Lq</vt:lpstr>
      <vt:lpstr>'What-If Analysis (2)'!Lq</vt:lpstr>
      <vt:lpstr>'What-If Analysis (3)'!Lq</vt:lpstr>
      <vt:lpstr>Lq</vt:lpstr>
      <vt:lpstr>ATM_MMs2!NServers</vt:lpstr>
      <vt:lpstr>'What-If Analysis'!NServers</vt:lpstr>
      <vt:lpstr>'What-If Analysis (2)'!NServers</vt:lpstr>
      <vt:lpstr>'What-If Analysis (3)'!NServers</vt:lpstr>
      <vt:lpstr>NServers</vt:lpstr>
      <vt:lpstr>ATM_MMs2!Prob0</vt:lpstr>
      <vt:lpstr>'What-If Analysis'!Prob0</vt:lpstr>
      <vt:lpstr>'What-If Analysis (2)'!Prob0</vt:lpstr>
      <vt:lpstr>'What-If Analysis (3)'!Prob0</vt:lpstr>
      <vt:lpstr>Prob0</vt:lpstr>
      <vt:lpstr>ATM_MMs2!PWait</vt:lpstr>
      <vt:lpstr>'What-If Analysis'!PWait</vt:lpstr>
      <vt:lpstr>'What-If Analysis (2)'!PWait</vt:lpstr>
      <vt:lpstr>'What-If Analysis (3)'!PWait</vt:lpstr>
      <vt:lpstr>PWait</vt:lpstr>
      <vt:lpstr>ATM_MMs2!ServeRate</vt:lpstr>
      <vt:lpstr>'What-If Analysis'!ServeRate</vt:lpstr>
      <vt:lpstr>'What-If Analysis (2)'!ServeRate</vt:lpstr>
      <vt:lpstr>'What-If Analysis (3)'!ServeRate</vt:lpstr>
      <vt:lpstr>ServeRate</vt:lpstr>
      <vt:lpstr>ATM_MMs2!ServiceCost1</vt:lpstr>
      <vt:lpstr>'What-If Analysis'!ServiceCost1</vt:lpstr>
      <vt:lpstr>'What-If Analysis (2)'!ServiceCost1</vt:lpstr>
      <vt:lpstr>'What-If Analysis (3)'!ServiceCost1</vt:lpstr>
      <vt:lpstr>ServiceCost1</vt:lpstr>
      <vt:lpstr>ATM_MMs2!Unit</vt:lpstr>
      <vt:lpstr>'What-If Analysis'!Unit</vt:lpstr>
      <vt:lpstr>'What-If Analysis (2)'!Unit</vt:lpstr>
      <vt:lpstr>'What-If Analysis (3)'!Unit</vt:lpstr>
      <vt:lpstr>Unit</vt:lpstr>
      <vt:lpstr>ATM_MMs2!Util</vt:lpstr>
      <vt:lpstr>'What-If Analysis'!Util</vt:lpstr>
      <vt:lpstr>'What-If Analysis (2)'!Util</vt:lpstr>
      <vt:lpstr>'What-If Analysis (3)'!Util</vt:lpstr>
      <vt:lpstr>Util</vt:lpstr>
      <vt:lpstr>ATM_MMs2!W</vt:lpstr>
      <vt:lpstr>'What-If Analysis'!W</vt:lpstr>
      <vt:lpstr>'What-If Analysis (2)'!W</vt:lpstr>
      <vt:lpstr>'What-If Analysis (3)'!W</vt:lpstr>
      <vt:lpstr>W</vt:lpstr>
      <vt:lpstr>ATM_MMs2!WaitCost1</vt:lpstr>
      <vt:lpstr>'What-If Analysis'!WaitCost1</vt:lpstr>
      <vt:lpstr>'What-If Analysis (2)'!WaitCost1</vt:lpstr>
      <vt:lpstr>'What-If Analysis (3)'!WaitCost1</vt:lpstr>
      <vt:lpstr>WaitCost1</vt:lpstr>
      <vt:lpstr>ATM_MMs2!Wq</vt:lpstr>
      <vt:lpstr>'What-If Analysis'!Wq</vt:lpstr>
      <vt:lpstr>'What-If Analysis (2)'!Wq</vt:lpstr>
      <vt:lpstr>'What-If Analysis (3)'!Wq</vt:lpstr>
      <vt:lpstr>Wq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zdr</dc:creator>
  <cp:lastModifiedBy>Microsoft Office User</cp:lastModifiedBy>
  <cp:lastPrinted>2008-04-20T18:43:15Z</cp:lastPrinted>
  <dcterms:created xsi:type="dcterms:W3CDTF">1999-09-13T02:10:48Z</dcterms:created>
  <dcterms:modified xsi:type="dcterms:W3CDTF">2023-05-13T04:32:05Z</dcterms:modified>
</cp:coreProperties>
</file>